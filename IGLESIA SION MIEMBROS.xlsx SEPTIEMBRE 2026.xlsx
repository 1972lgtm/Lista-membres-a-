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8800" windowHeight="12210" activeTab="1"/>
  </bookViews>
  <sheets>
    <sheet name="2024" sheetId="1" r:id="rId1"/>
    <sheet name="datos a mayo 2025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7" i="2" l="1"/>
  <c r="N96" i="2"/>
  <c r="N90" i="2"/>
  <c r="M90" i="2"/>
  <c r="L90" i="2"/>
  <c r="K90" i="2"/>
  <c r="J90" i="2"/>
  <c r="I90" i="2"/>
  <c r="H90" i="2"/>
  <c r="G90" i="2"/>
  <c r="F90" i="2"/>
  <c r="E90" i="2"/>
  <c r="B87" i="2"/>
  <c r="C83" i="2"/>
  <c r="B83" i="2"/>
  <c r="C81" i="2"/>
  <c r="B81" i="2"/>
  <c r="C80" i="2"/>
  <c r="B80" i="2"/>
  <c r="C79" i="2"/>
  <c r="B79" i="2"/>
  <c r="C77" i="2"/>
  <c r="B77" i="2"/>
  <c r="C76" i="2"/>
  <c r="B76" i="2"/>
  <c r="C75" i="2"/>
  <c r="B75" i="2"/>
  <c r="C74" i="2"/>
  <c r="B74" i="2"/>
  <c r="C72" i="2"/>
  <c r="B72" i="2"/>
  <c r="C69" i="2"/>
  <c r="B69" i="2"/>
  <c r="C66" i="2"/>
  <c r="B66" i="2"/>
  <c r="C65" i="2"/>
  <c r="B65" i="2"/>
  <c r="C64" i="2"/>
  <c r="B64" i="2"/>
  <c r="C62" i="2"/>
  <c r="B62" i="2"/>
  <c r="C61" i="2"/>
  <c r="B61" i="2"/>
  <c r="C59" i="2"/>
  <c r="B59" i="2"/>
  <c r="C58" i="2"/>
  <c r="B58" i="2"/>
  <c r="C57" i="2"/>
  <c r="B57" i="2"/>
  <c r="C56" i="2"/>
  <c r="B56" i="2"/>
  <c r="C55" i="2"/>
  <c r="B55" i="2"/>
  <c r="C54" i="2"/>
  <c r="B54" i="2"/>
  <c r="C51" i="2"/>
  <c r="B51" i="2"/>
  <c r="C49" i="2"/>
  <c r="B49" i="2"/>
  <c r="C47" i="2"/>
  <c r="B47" i="2"/>
  <c r="C46" i="2"/>
  <c r="B46" i="2"/>
  <c r="C45" i="2"/>
  <c r="B45" i="2"/>
  <c r="C43" i="2"/>
  <c r="B43" i="2"/>
  <c r="C41" i="2"/>
  <c r="B41" i="2"/>
  <c r="C40" i="2"/>
  <c r="B40" i="2"/>
  <c r="C39" i="2"/>
  <c r="B39" i="2"/>
  <c r="C37" i="2"/>
  <c r="B37" i="2"/>
  <c r="C35" i="2"/>
  <c r="B35" i="2"/>
  <c r="C32" i="2"/>
  <c r="B32" i="2"/>
  <c r="C31" i="2"/>
  <c r="B31" i="2"/>
  <c r="B29" i="2"/>
  <c r="C27" i="2"/>
  <c r="B27" i="2"/>
  <c r="C26" i="2"/>
  <c r="B26" i="2"/>
  <c r="C25" i="2"/>
  <c r="B25" i="2"/>
  <c r="C24" i="2"/>
  <c r="B24" i="2"/>
  <c r="C23" i="2"/>
  <c r="B23" i="2"/>
  <c r="B22" i="2"/>
  <c r="C21" i="2"/>
  <c r="B21" i="2"/>
  <c r="C19" i="2"/>
  <c r="B19" i="2"/>
  <c r="S18" i="2"/>
  <c r="C18" i="2"/>
  <c r="B18" i="2"/>
  <c r="C17" i="2"/>
  <c r="B17" i="2"/>
  <c r="C16" i="2"/>
  <c r="B16" i="2"/>
  <c r="C14" i="2"/>
  <c r="B14" i="2"/>
  <c r="C12" i="2"/>
  <c r="B12" i="2"/>
  <c r="C11" i="2"/>
  <c r="B11" i="2"/>
  <c r="C10" i="2"/>
  <c r="B10" i="2"/>
  <c r="C9" i="2"/>
  <c r="B9" i="2"/>
  <c r="C6" i="2"/>
  <c r="B6" i="2"/>
  <c r="C5" i="2"/>
  <c r="B5" i="2"/>
  <c r="C3" i="2"/>
  <c r="B3" i="2"/>
  <c r="N92" i="1"/>
  <c r="M92" i="1"/>
  <c r="L92" i="1"/>
  <c r="K92" i="1"/>
  <c r="J92" i="1"/>
  <c r="I92" i="1"/>
  <c r="H92" i="1"/>
  <c r="G92" i="1"/>
  <c r="F92" i="1"/>
  <c r="E92" i="1"/>
  <c r="C90" i="1"/>
  <c r="B90" i="1"/>
  <c r="C89" i="1"/>
  <c r="B89" i="1"/>
  <c r="C87" i="1"/>
  <c r="B87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2" i="1"/>
  <c r="B72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8" i="1"/>
  <c r="B38" i="1"/>
  <c r="C37" i="1"/>
  <c r="B37" i="1"/>
  <c r="C34" i="1"/>
  <c r="B34" i="1"/>
  <c r="C33" i="1"/>
  <c r="B33" i="1"/>
  <c r="C32" i="1"/>
  <c r="B32" i="1"/>
  <c r="B31" i="1"/>
  <c r="C30" i="1"/>
  <c r="B30" i="1"/>
  <c r="C29" i="1"/>
  <c r="B29" i="1"/>
  <c r="C28" i="1"/>
  <c r="B28" i="1"/>
  <c r="C27" i="1"/>
  <c r="B27" i="1"/>
  <c r="C26" i="1"/>
  <c r="B26" i="1"/>
  <c r="B25" i="1"/>
  <c r="C24" i="1"/>
  <c r="B24" i="1"/>
  <c r="C23" i="1"/>
  <c r="B23" i="1"/>
  <c r="C22" i="1"/>
  <c r="B22" i="1"/>
  <c r="C21" i="1"/>
  <c r="B21" i="1"/>
  <c r="C19" i="1"/>
  <c r="B19" i="1"/>
  <c r="C18" i="1"/>
  <c r="B18" i="1"/>
  <c r="C17" i="1"/>
  <c r="B17" i="1"/>
  <c r="C16" i="1"/>
  <c r="B16" i="1"/>
  <c r="C15" i="1"/>
  <c r="B15" i="1"/>
  <c r="C13" i="1"/>
  <c r="B13" i="1"/>
  <c r="B12" i="1"/>
  <c r="C11" i="1"/>
  <c r="B11" i="1"/>
  <c r="C10" i="1"/>
  <c r="B10" i="1"/>
  <c r="C9" i="1"/>
  <c r="B9" i="1"/>
  <c r="C7" i="1"/>
  <c r="B7" i="1"/>
  <c r="C6" i="1"/>
  <c r="B6" i="1"/>
  <c r="C4" i="1"/>
  <c r="B4" i="1"/>
  <c r="C2" i="1"/>
  <c r="B2" i="1"/>
</calcChain>
</file>

<file path=xl/sharedStrings.xml><?xml version="1.0" encoding="utf-8"?>
<sst xmlns="http://schemas.openxmlformats.org/spreadsheetml/2006/main" count="114" uniqueCount="69">
  <si>
    <t>NIÑOS</t>
  </si>
  <si>
    <t>ADOLESCENTES</t>
  </si>
  <si>
    <t>JOVENES</t>
  </si>
  <si>
    <t>DAMAS</t>
  </si>
  <si>
    <t>VARONES</t>
  </si>
  <si>
    <t>BAUTIZADO</t>
  </si>
  <si>
    <t xml:space="preserve">SERVICIO MINISTERIO </t>
  </si>
  <si>
    <t>ASISTE SI</t>
  </si>
  <si>
    <t>AV</t>
  </si>
  <si>
    <t>NO</t>
  </si>
  <si>
    <t>ADRIANA</t>
  </si>
  <si>
    <t>ALAN (NIÑO)</t>
  </si>
  <si>
    <t>O</t>
  </si>
  <si>
    <t>ANDY</t>
  </si>
  <si>
    <t>CALEB</t>
  </si>
  <si>
    <t>DAYANA NIÑA</t>
  </si>
  <si>
    <t>FRANCELLY</t>
  </si>
  <si>
    <t>FRANDIELY</t>
  </si>
  <si>
    <t>GABRIELA (SANCHEZ)</t>
  </si>
  <si>
    <t>OSCAR</t>
  </si>
  <si>
    <t>SALOME (LINA)</t>
  </si>
  <si>
    <t>SAMANTHA</t>
  </si>
  <si>
    <t>WILMER</t>
  </si>
  <si>
    <t>YESLY</t>
  </si>
  <si>
    <t>TEL</t>
  </si>
  <si>
    <t>SI</t>
  </si>
  <si>
    <t>MIEMBROS</t>
  </si>
  <si>
    <t>SERVIDORES</t>
  </si>
  <si>
    <t>TELEFONO</t>
  </si>
  <si>
    <t>BLANCO</t>
  </si>
  <si>
    <t>AMELIA</t>
  </si>
  <si>
    <t>ARTEAGA</t>
  </si>
  <si>
    <t>ANA BEATRIZ</t>
  </si>
  <si>
    <t>LENGUA</t>
  </si>
  <si>
    <t>BAUDILIO</t>
  </si>
  <si>
    <t>VEGA</t>
  </si>
  <si>
    <t>CAMILO</t>
  </si>
  <si>
    <t>GONZALEZ</t>
  </si>
  <si>
    <t>CASTILLO</t>
  </si>
  <si>
    <t>ERIKA</t>
  </si>
  <si>
    <t>TABARES</t>
  </si>
  <si>
    <t>FAIBER</t>
  </si>
  <si>
    <t>GABRIELA</t>
  </si>
  <si>
    <t>GISELA</t>
  </si>
  <si>
    <t>VALENCIA</t>
  </si>
  <si>
    <t>HUMBERTO</t>
  </si>
  <si>
    <t>JENNY</t>
  </si>
  <si>
    <t>OSORIO</t>
  </si>
  <si>
    <t>JUAN</t>
  </si>
  <si>
    <t>ESCOBAR</t>
  </si>
  <si>
    <t>LAURA</t>
  </si>
  <si>
    <t>LILINA</t>
  </si>
  <si>
    <t>LUCY</t>
  </si>
  <si>
    <t>MARLEN</t>
  </si>
  <si>
    <t>GARCIA</t>
  </si>
  <si>
    <t>MILLER</t>
  </si>
  <si>
    <t>NIEVES</t>
  </si>
  <si>
    <t>CORAL</t>
  </si>
  <si>
    <t xml:space="preserve">ORLANDO  </t>
  </si>
  <si>
    <t>ORTIZ</t>
  </si>
  <si>
    <t>RUBIELA</t>
  </si>
  <si>
    <t>GILON</t>
  </si>
  <si>
    <t>VALENTINA</t>
  </si>
  <si>
    <t>SANCHEZ</t>
  </si>
  <si>
    <t>YUDY</t>
  </si>
  <si>
    <t>FERRER</t>
  </si>
  <si>
    <t>YUDYS</t>
  </si>
  <si>
    <t>SERRANO</t>
  </si>
  <si>
    <t>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</si>
</sst>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9" tint="0.39994506668294322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rgb="FF92D050"/>
      <name val="Calibri"/>
      <charset val="134"/>
      <scheme val="minor"/>
    </font>
    <font>
      <b/>
      <sz val="14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4"/>
      <color theme="9"/>
      <name val="Calibri"/>
      <charset val="134"/>
      <scheme val="minor"/>
    </font>
    <font>
      <b/>
      <sz val="14"/>
      <color theme="9" tint="0.39994506668294322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92D050"/>
      <name val="Calibri"/>
      <charset val="134"/>
      <scheme val="minor"/>
    </font>
    <font>
      <sz val="11"/>
      <color rgb="FFFF9933"/>
      <name val="Calibri"/>
      <charset val="134"/>
      <scheme val="minor"/>
    </font>
    <font>
      <sz val="11"/>
      <color theme="7" tint="-0.499984740745262"/>
      <name val="Calibri"/>
      <charset val="134"/>
      <scheme val="minor"/>
    </font>
    <font>
      <sz val="11"/>
      <color rgb="FFFF66FF"/>
      <name val="Calibri"/>
      <charset val="134"/>
      <scheme val="minor"/>
    </font>
    <font>
      <sz val="11"/>
      <color rgb="FF00B0F0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9"/>
      <name val="Calibri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CA8E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7" fillId="4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 wrapText="1"/>
    </xf>
    <xf numFmtId="0" fontId="8" fillId="11" borderId="8" xfId="0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/>
    </xf>
    <xf numFmtId="0" fontId="8" fillId="13" borderId="8" xfId="0" applyFont="1" applyFill="1" applyBorder="1" applyAlignment="1">
      <alignment horizontal="center"/>
    </xf>
    <xf numFmtId="0" fontId="5" fillId="0" borderId="8" xfId="0" applyFont="1" applyBorder="1"/>
    <xf numFmtId="0" fontId="6" fillId="0" borderId="9" xfId="0" applyFont="1" applyBorder="1" applyAlignment="1">
      <alignment horizontal="center"/>
    </xf>
    <xf numFmtId="0" fontId="7" fillId="14" borderId="9" xfId="0" applyFont="1" applyFill="1" applyBorder="1" applyAlignment="1">
      <alignment horizontal="center"/>
    </xf>
    <xf numFmtId="0" fontId="7" fillId="15" borderId="9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2" borderId="8" xfId="0" applyFont="1" applyFill="1" applyBorder="1"/>
    <xf numFmtId="0" fontId="9" fillId="2" borderId="8" xfId="0" applyFont="1" applyFill="1" applyBorder="1"/>
    <xf numFmtId="0" fontId="5" fillId="2" borderId="10" xfId="0" applyFont="1" applyFill="1" applyBorder="1"/>
    <xf numFmtId="0" fontId="7" fillId="17" borderId="8" xfId="0" applyFont="1" applyFill="1" applyBorder="1" applyAlignment="1">
      <alignment horizontal="center"/>
    </xf>
    <xf numFmtId="0" fontId="7" fillId="14" borderId="8" xfId="0" applyFont="1" applyFill="1" applyBorder="1" applyAlignment="1">
      <alignment horizontal="center"/>
    </xf>
    <xf numFmtId="0" fontId="7" fillId="15" borderId="8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16" borderId="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0" borderId="10" xfId="0" applyFont="1" applyBorder="1"/>
    <xf numFmtId="0" fontId="9" fillId="0" borderId="8" xfId="0" applyFont="1" applyBorder="1"/>
    <xf numFmtId="0" fontId="7" fillId="2" borderId="8" xfId="0" applyFont="1" applyFill="1" applyBorder="1"/>
    <xf numFmtId="0" fontId="7" fillId="2" borderId="10" xfId="0" applyFont="1" applyFill="1" applyBorder="1"/>
    <xf numFmtId="0" fontId="10" fillId="2" borderId="8" xfId="0" applyFont="1" applyFill="1" applyBorder="1"/>
    <xf numFmtId="0" fontId="7" fillId="2" borderId="8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5" fillId="0" borderId="0" xfId="0" applyFont="1" applyBorder="1"/>
    <xf numFmtId="0" fontId="5" fillId="0" borderId="11" xfId="0" applyFont="1" applyBorder="1"/>
    <xf numFmtId="0" fontId="7" fillId="0" borderId="8" xfId="0" applyFont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18" borderId="8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5" fillId="19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4" borderId="8" xfId="0" applyFont="1" applyFill="1" applyBorder="1" applyAlignment="1">
      <alignment horizontal="center"/>
    </xf>
    <xf numFmtId="0" fontId="17" fillId="5" borderId="8" xfId="0" applyFont="1" applyFill="1" applyBorder="1" applyAlignment="1">
      <alignment horizontal="center"/>
    </xf>
    <xf numFmtId="0" fontId="17" fillId="6" borderId="8" xfId="0" applyFont="1" applyFill="1" applyBorder="1" applyAlignment="1">
      <alignment horizontal="center"/>
    </xf>
    <xf numFmtId="0" fontId="17" fillId="18" borderId="8" xfId="0" applyFont="1" applyFill="1" applyBorder="1" applyAlignment="1">
      <alignment horizontal="center"/>
    </xf>
    <xf numFmtId="0" fontId="18" fillId="8" borderId="8" xfId="0" applyFont="1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10" borderId="8" xfId="0" applyFill="1" applyBorder="1" applyAlignment="1">
      <alignment horizontal="center" wrapText="1"/>
    </xf>
    <xf numFmtId="0" fontId="18" fillId="11" borderId="8" xfId="0" applyFont="1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18" fillId="13" borderId="8" xfId="0" applyFont="1" applyFill="1" applyBorder="1" applyAlignment="1">
      <alignment horizontal="center"/>
    </xf>
    <xf numFmtId="0" fontId="0" fillId="0" borderId="8" xfId="0" applyBorder="1"/>
    <xf numFmtId="0" fontId="12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9" fillId="0" borderId="8" xfId="0" applyFont="1" applyBorder="1"/>
    <xf numFmtId="0" fontId="0" fillId="0" borderId="10" xfId="0" applyBorder="1"/>
    <xf numFmtId="0" fontId="11" fillId="0" borderId="8" xfId="0" applyFont="1" applyBorder="1"/>
    <xf numFmtId="0" fontId="11" fillId="0" borderId="10" xfId="0" applyFont="1" applyBorder="1"/>
    <xf numFmtId="0" fontId="11" fillId="0" borderId="8" xfId="0" applyFont="1" applyBorder="1" applyAlignment="1">
      <alignment horizontal="center"/>
    </xf>
    <xf numFmtId="0" fontId="0" fillId="0" borderId="0" xfId="0" applyAlignment="1">
      <alignment wrapText="1"/>
    </xf>
    <xf numFmtId="0" fontId="16" fillId="8" borderId="8" xfId="0" applyFont="1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9933"/>
      <color rgb="FFFCA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MEMBRESIA AGOSTO </a:t>
            </a:r>
            <a:r>
              <a:rPr lang="es-CO" baseline="0"/>
              <a:t> 2024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D9F-4A2C-84EC-D3C87D1066C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D9F-4A2C-84EC-D3C87D1066C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D9F-4A2C-84EC-D3C87D1066C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D9F-4A2C-84EC-D3C87D1066CA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D9F-4A2C-84EC-D3C87D1066C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'2024'!$E$91:$I$91</c:f>
              <c:strCache>
                <c:ptCount val="5"/>
                <c:pt idx="0">
                  <c:v>NIÑOS</c:v>
                </c:pt>
                <c:pt idx="1">
                  <c:v>ADOLESCENTES</c:v>
                </c:pt>
                <c:pt idx="2">
                  <c:v>JOVENES</c:v>
                </c:pt>
                <c:pt idx="3">
                  <c:v>DAMAS</c:v>
                </c:pt>
                <c:pt idx="4">
                  <c:v>VARONES</c:v>
                </c:pt>
              </c:strCache>
            </c:strRef>
          </c:cat>
          <c:val>
            <c:numRef>
              <c:f>'2024'!$E$92:$I$92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35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9F-4A2C-84EC-D3C87D1066C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7cc316-1b4c-45aa-9b37-25dfe6ad4abe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s-ES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HABITO DE CONGREGARESE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BA8-43A6-9B8B-13F783F855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BA8-43A6-9B8B-13F783F855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BA8-43A6-9B8B-13F783F855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'2024'!$L$91:$N$91</c:f>
              <c:strCache>
                <c:ptCount val="3"/>
                <c:pt idx="0">
                  <c:v>SI</c:v>
                </c:pt>
                <c:pt idx="1">
                  <c:v>AV</c:v>
                </c:pt>
                <c:pt idx="2">
                  <c:v>NO</c:v>
                </c:pt>
              </c:strCache>
            </c:strRef>
          </c:cat>
          <c:val>
            <c:numRef>
              <c:f>'2024'!$L$92:$N$92</c:f>
              <c:numCache>
                <c:formatCode>General</c:formatCode>
                <c:ptCount val="3"/>
                <c:pt idx="0">
                  <c:v>52</c:v>
                </c:pt>
                <c:pt idx="1">
                  <c:v>24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A8-43A6-9B8B-13F783F855A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c4e95b-1608-482c-a4f4-caf066e412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SERVIDORES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DD0-4F5F-A5ED-304FB8B473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D0-4F5F-A5ED-304FB8B473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'2024'!$M$95:$M$96</c:f>
              <c:strCache>
                <c:ptCount val="2"/>
                <c:pt idx="0">
                  <c:v>MIEMBROS</c:v>
                </c:pt>
                <c:pt idx="1">
                  <c:v>SERVIDORES</c:v>
                </c:pt>
              </c:strCache>
            </c:strRef>
          </c:cat>
          <c:val>
            <c:numRef>
              <c:f>'2024'!$N$95:$N$96</c:f>
              <c:numCache>
                <c:formatCode>General</c:formatCode>
                <c:ptCount val="2"/>
                <c:pt idx="0">
                  <c:v>89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D0-4F5F-A5ED-304FB8B473F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d644a1-7f38-488d-b5f6-72ca51bd39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628650</xdr:colOff>
      <xdr:row>92</xdr:row>
      <xdr:rowOff>171450</xdr:rowOff>
    </xdr:from>
    <xdr:to>
      <xdr:col>5</xdr:col>
      <xdr:colOff>57150</xdr:colOff>
      <xdr:row>102</xdr:row>
      <xdr:rowOff>47625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685800</xdr:colOff>
      <xdr:row>92</xdr:row>
      <xdr:rowOff>152400</xdr:rowOff>
    </xdr:from>
    <xdr:to>
      <xdr:col>9</xdr:col>
      <xdr:colOff>561975</xdr:colOff>
      <xdr:row>103</xdr:row>
      <xdr:rowOff>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323850</xdr:colOff>
      <xdr:row>96</xdr:row>
      <xdr:rowOff>114300</xdr:rowOff>
    </xdr:from>
    <xdr:to>
      <xdr:col>14</xdr:col>
      <xdr:colOff>276225</xdr:colOff>
      <xdr:row>105</xdr:row>
      <xdr:rowOff>19049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able%20sion%202023\contable%20planilla%20general%20aportes\2024%20planilla%20de%20aportes%20general\registro%20contable%20%20a%20JuLio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2023"/>
      <sheetName val="AGOSTO 2024"/>
      <sheetName val="JULIO 2024"/>
      <sheetName val="JUNIO2024"/>
      <sheetName val="MAYO 2024"/>
      <sheetName val="ABRIL 2024"/>
      <sheetName val="MARZO 2024"/>
      <sheetName val="febrero"/>
      <sheetName val="MARZO 2023"/>
      <sheetName val="ABRIL 2023"/>
      <sheetName val="MAYO 2023"/>
      <sheetName val="JUNIO2023"/>
      <sheetName val="JULIO 2023"/>
      <sheetName val="AGOSTO 2023"/>
      <sheetName val="SEPT. 23"/>
      <sheetName val="OCT.23"/>
      <sheetName val="NOV.2023"/>
      <sheetName val="DICIEMBRE.23"/>
      <sheetName val="ENERO 2024"/>
      <sheetName val="FEBRERO 2024"/>
    </sheetNames>
    <sheetDataSet>
      <sheetData sheetId="0"/>
      <sheetData sheetId="1"/>
      <sheetData sheetId="2">
        <row r="5">
          <cell r="C5" t="str">
            <v>ADIELA</v>
          </cell>
          <cell r="D5" t="str">
            <v>ALVAREZ</v>
          </cell>
        </row>
        <row r="6">
          <cell r="C6" t="str">
            <v>AGRIPINA</v>
          </cell>
          <cell r="D6" t="str">
            <v>CAICEDO</v>
          </cell>
        </row>
        <row r="7">
          <cell r="C7" t="str">
            <v>ALEJANDRO</v>
          </cell>
          <cell r="D7" t="str">
            <v>DELGADO</v>
          </cell>
        </row>
        <row r="8">
          <cell r="C8" t="str">
            <v>ANA MARIA</v>
          </cell>
          <cell r="D8" t="str">
            <v>DIAZ</v>
          </cell>
        </row>
        <row r="9">
          <cell r="C9" t="str">
            <v>ANGELA</v>
          </cell>
          <cell r="D9" t="str">
            <v>RIVERA</v>
          </cell>
        </row>
        <row r="10">
          <cell r="C10" t="str">
            <v>ARNOBIO ANTONIO</v>
          </cell>
          <cell r="D10" t="str">
            <v>TABARES</v>
          </cell>
        </row>
        <row r="11">
          <cell r="C11" t="str">
            <v>AZUCENA</v>
          </cell>
          <cell r="D11" t="str">
            <v>HERNANDEZ</v>
          </cell>
        </row>
        <row r="12">
          <cell r="C12" t="str">
            <v>BEATRIZ</v>
          </cell>
        </row>
        <row r="13">
          <cell r="C13" t="str">
            <v>BLANCA IRMA</v>
          </cell>
          <cell r="D13" t="str">
            <v>IDROBO</v>
          </cell>
        </row>
        <row r="14">
          <cell r="C14" t="str">
            <v>CAROLINA</v>
          </cell>
          <cell r="D14" t="str">
            <v>PINZON  (PAJOY)</v>
          </cell>
        </row>
        <row r="15">
          <cell r="C15" t="str">
            <v>CARLOS CESAR</v>
          </cell>
          <cell r="D15" t="str">
            <v>ARBOLEDA</v>
          </cell>
        </row>
        <row r="17">
          <cell r="C17" t="str">
            <v>CARMEN ROSA</v>
          </cell>
          <cell r="D17" t="str">
            <v>ZAMBRANO</v>
          </cell>
        </row>
        <row r="18">
          <cell r="C18" t="str">
            <v>DANIELA</v>
          </cell>
          <cell r="D18" t="str">
            <v>RAMIREZ</v>
          </cell>
        </row>
        <row r="19">
          <cell r="C19" t="str">
            <v>DIANA MARIA</v>
          </cell>
          <cell r="D19" t="str">
            <v>CARDENAS GARCIA</v>
          </cell>
        </row>
        <row r="20">
          <cell r="C20" t="str">
            <v>DIDIER</v>
          </cell>
          <cell r="D20" t="str">
            <v>ESPOSO NATALIA</v>
          </cell>
        </row>
        <row r="21">
          <cell r="C21" t="str">
            <v>DERLY DALLANA</v>
          </cell>
          <cell r="D21" t="str">
            <v>QUIÑONES</v>
          </cell>
        </row>
        <row r="22">
          <cell r="C22" t="str">
            <v>EDDIE</v>
          </cell>
          <cell r="D22" t="str">
            <v>LOPEZ</v>
          </cell>
        </row>
        <row r="23">
          <cell r="C23" t="str">
            <v>EDWIN ORTIZ</v>
          </cell>
        </row>
        <row r="24">
          <cell r="C24" t="str">
            <v>ELADIO</v>
          </cell>
          <cell r="D24" t="str">
            <v>CARABALI</v>
          </cell>
        </row>
        <row r="25">
          <cell r="C25" t="str">
            <v>ELIECER</v>
          </cell>
          <cell r="D25" t="str">
            <v>GONZALEZ</v>
          </cell>
        </row>
        <row r="26">
          <cell r="C26" t="str">
            <v>ELVIA</v>
          </cell>
          <cell r="D26" t="str">
            <v>LASSO</v>
          </cell>
        </row>
        <row r="27">
          <cell r="C27" t="str">
            <v>EMMANUEL</v>
          </cell>
          <cell r="D27" t="str">
            <v>LOPEZ</v>
          </cell>
        </row>
        <row r="28">
          <cell r="C28" t="str">
            <v>ENRIQUE</v>
          </cell>
          <cell r="D28" t="str">
            <v>PUERTA</v>
          </cell>
        </row>
        <row r="29">
          <cell r="C29" t="str">
            <v>FABRICIO</v>
          </cell>
        </row>
        <row r="30">
          <cell r="C30" t="str">
            <v>FERNANDO</v>
          </cell>
          <cell r="D30" t="str">
            <v>VILLARREAL</v>
          </cell>
        </row>
        <row r="31">
          <cell r="C31" t="str">
            <v>FLOR (MARIA ZALIA)</v>
          </cell>
          <cell r="D31" t="str">
            <v>MARIN</v>
          </cell>
        </row>
        <row r="32">
          <cell r="C32" t="str">
            <v>FREDDY</v>
          </cell>
          <cell r="D32" t="str">
            <v>CANO</v>
          </cell>
        </row>
        <row r="33">
          <cell r="C33" t="str">
            <v>GABRIELA</v>
          </cell>
          <cell r="D33" t="str">
            <v>GUERRERO</v>
          </cell>
        </row>
        <row r="34">
          <cell r="C34" t="str">
            <v>GILBERTH ANDRÉS</v>
          </cell>
          <cell r="D34" t="str">
            <v>ZUÑIGA</v>
          </cell>
        </row>
        <row r="35">
          <cell r="C35" t="str">
            <v>GILMA LILIANA</v>
          </cell>
          <cell r="D35" t="str">
            <v>ORDOÑES</v>
          </cell>
        </row>
        <row r="36">
          <cell r="C36" t="str">
            <v>GLADIS</v>
          </cell>
          <cell r="D36" t="str">
            <v>VALENCIA</v>
          </cell>
        </row>
        <row r="37">
          <cell r="C37" t="str">
            <v>GLORIA</v>
          </cell>
          <cell r="D37" t="str">
            <v>PAJOY</v>
          </cell>
        </row>
        <row r="39">
          <cell r="C39" t="str">
            <v>GUSTAVO</v>
          </cell>
          <cell r="D39" t="str">
            <v>ASPRILLA</v>
          </cell>
        </row>
        <row r="40">
          <cell r="C40" t="str">
            <v>GUSTAVO</v>
          </cell>
          <cell r="D40" t="str">
            <v>GONZALEZ</v>
          </cell>
        </row>
        <row r="41">
          <cell r="C41" t="str">
            <v>INÉS</v>
          </cell>
          <cell r="D41" t="str">
            <v>DORONSORO</v>
          </cell>
        </row>
        <row r="42">
          <cell r="C42" t="str">
            <v>INGRID VANESSA</v>
          </cell>
          <cell r="D42" t="str">
            <v>OCAMPO</v>
          </cell>
        </row>
        <row r="43">
          <cell r="C43" t="str">
            <v>ISABEL</v>
          </cell>
          <cell r="D43" t="str">
            <v>DAZA</v>
          </cell>
        </row>
        <row r="44">
          <cell r="C44" t="str">
            <v>JAIRO</v>
          </cell>
          <cell r="D44" t="str">
            <v>SOTO</v>
          </cell>
        </row>
        <row r="45">
          <cell r="C45" t="str">
            <v>JENNY</v>
          </cell>
          <cell r="D45" t="str">
            <v>RODRIGUEZ</v>
          </cell>
        </row>
        <row r="46">
          <cell r="C46" t="str">
            <v>JOSE LUIS</v>
          </cell>
          <cell r="D46" t="str">
            <v>GUERRERO</v>
          </cell>
        </row>
        <row r="47">
          <cell r="C47" t="str">
            <v>JUAN CAMILO</v>
          </cell>
          <cell r="D47" t="str">
            <v>MILLAN</v>
          </cell>
        </row>
        <row r="48">
          <cell r="C48" t="str">
            <v>KATY</v>
          </cell>
          <cell r="D48" t="str">
            <v>SERRANO</v>
          </cell>
        </row>
        <row r="49">
          <cell r="C49" t="str">
            <v>LEIDY DAVIHANA</v>
          </cell>
          <cell r="D49" t="str">
            <v>ZAMORANO</v>
          </cell>
        </row>
        <row r="51">
          <cell r="C51" t="str">
            <v>CAMILA</v>
          </cell>
          <cell r="D51" t="str">
            <v>GILON</v>
          </cell>
        </row>
        <row r="52">
          <cell r="C52" t="str">
            <v>LILIANA</v>
          </cell>
          <cell r="D52" t="str">
            <v>GUERRERO</v>
          </cell>
        </row>
        <row r="55">
          <cell r="C55" t="str">
            <v>LISBETH</v>
          </cell>
          <cell r="D55" t="str">
            <v>GALLEGOS</v>
          </cell>
        </row>
        <row r="56">
          <cell r="C56" t="str">
            <v>LUIS ALBERTO</v>
          </cell>
          <cell r="D56" t="str">
            <v>GARCÍA</v>
          </cell>
        </row>
        <row r="57">
          <cell r="C57" t="str">
            <v>LUIS ALBERTO</v>
          </cell>
          <cell r="D57" t="str">
            <v>RAMIREZ</v>
          </cell>
        </row>
        <row r="58">
          <cell r="C58" t="str">
            <v>LUIS DAVID</v>
          </cell>
          <cell r="D58" t="str">
            <v>MILLAN</v>
          </cell>
        </row>
        <row r="59">
          <cell r="C59" t="str">
            <v>MARCELA</v>
          </cell>
          <cell r="D59" t="str">
            <v>MARIN OCAMPO</v>
          </cell>
        </row>
        <row r="60">
          <cell r="C60" t="str">
            <v>MARIA</v>
          </cell>
          <cell r="D60" t="str">
            <v>GLENNIS</v>
          </cell>
        </row>
        <row r="61">
          <cell r="C61" t="str">
            <v>MARIA (ZITA)</v>
          </cell>
          <cell r="D61" t="str">
            <v>RAMIREZ</v>
          </cell>
        </row>
        <row r="63">
          <cell r="C63" t="str">
            <v>MARLENE</v>
          </cell>
          <cell r="D63" t="str">
            <v>GARCIA</v>
          </cell>
        </row>
        <row r="64">
          <cell r="C64" t="str">
            <v>MARLENY</v>
          </cell>
          <cell r="D64" t="str">
            <v>VERGARA</v>
          </cell>
        </row>
        <row r="65">
          <cell r="C65" t="str">
            <v>NATALIA</v>
          </cell>
          <cell r="D65" t="str">
            <v>SANCHEZ</v>
          </cell>
        </row>
        <row r="66">
          <cell r="C66" t="str">
            <v>NERY</v>
          </cell>
          <cell r="D66" t="str">
            <v>CRUZ</v>
          </cell>
        </row>
        <row r="67">
          <cell r="C67" t="str">
            <v>NICOL</v>
          </cell>
          <cell r="D67" t="str">
            <v>PANTOJA</v>
          </cell>
        </row>
        <row r="69">
          <cell r="C69" t="str">
            <v>ORLANDO</v>
          </cell>
          <cell r="D69" t="str">
            <v>GILON</v>
          </cell>
        </row>
        <row r="70">
          <cell r="C70" t="str">
            <v>SERGIO AUGUSTO</v>
          </cell>
          <cell r="D70" t="str">
            <v>DURAN</v>
          </cell>
        </row>
        <row r="71">
          <cell r="C71" t="str">
            <v>SHAROL</v>
          </cell>
          <cell r="D71" t="str">
            <v>OCAMPO</v>
          </cell>
        </row>
        <row r="72">
          <cell r="C72" t="str">
            <v>SALOME</v>
          </cell>
          <cell r="D72" t="str">
            <v>GUERRERO</v>
          </cell>
        </row>
        <row r="73">
          <cell r="C73" t="str">
            <v>SAMUEL</v>
          </cell>
          <cell r="D73" t="str">
            <v>SOTO</v>
          </cell>
        </row>
        <row r="74">
          <cell r="C74" t="str">
            <v>SARA</v>
          </cell>
          <cell r="D74" t="str">
            <v>DELGADO</v>
          </cell>
        </row>
        <row r="75">
          <cell r="C75" t="str">
            <v>SILVIA</v>
          </cell>
          <cell r="D75" t="str">
            <v>UTIMA</v>
          </cell>
        </row>
        <row r="76">
          <cell r="C76" t="str">
            <v>SOCORRO</v>
          </cell>
          <cell r="D76" t="str">
            <v>CARVAJAL</v>
          </cell>
        </row>
        <row r="77">
          <cell r="C77" t="str">
            <v>TELMA</v>
          </cell>
          <cell r="D77" t="str">
            <v>CARDENAS</v>
          </cell>
        </row>
        <row r="78">
          <cell r="C78" t="str">
            <v>VALENTINA</v>
          </cell>
          <cell r="D78" t="str">
            <v>CRUZ</v>
          </cell>
        </row>
        <row r="79">
          <cell r="C79" t="str">
            <v>VALERY</v>
          </cell>
          <cell r="D79" t="str">
            <v>RODRIGUEZ</v>
          </cell>
        </row>
        <row r="80">
          <cell r="C80" t="str">
            <v>VANNY (GIOVANNY)</v>
          </cell>
          <cell r="D80" t="str">
            <v>MORENO</v>
          </cell>
        </row>
        <row r="82">
          <cell r="C82" t="str">
            <v>VIVIANA</v>
          </cell>
          <cell r="D82" t="str">
            <v>MINA</v>
          </cell>
        </row>
        <row r="83">
          <cell r="C83" t="str">
            <v>YEIMY  FRANCELLY</v>
          </cell>
          <cell r="D83" t="str">
            <v>VEGA</v>
          </cell>
        </row>
        <row r="85">
          <cell r="C85" t="str">
            <v>YULLIMEY</v>
          </cell>
          <cell r="D85" t="str">
            <v>PRADO</v>
          </cell>
        </row>
        <row r="86">
          <cell r="C86" t="str">
            <v>YULISSA</v>
          </cell>
          <cell r="D86" t="str">
            <v>MINA (VIVI)</v>
          </cell>
        </row>
        <row r="89">
          <cell r="C89" t="str">
            <v>FANNY</v>
          </cell>
          <cell r="D89" t="str">
            <v>BALLESTEROS</v>
          </cell>
        </row>
        <row r="91">
          <cell r="C91" t="str">
            <v>JOSE</v>
          </cell>
          <cell r="D91" t="str">
            <v>BEDER</v>
          </cell>
        </row>
        <row r="92">
          <cell r="C92" t="str">
            <v>NUBIA RUTH</v>
          </cell>
          <cell r="D92" t="str">
            <v>LUGO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"/>
  <sheetViews>
    <sheetView topLeftCell="A52" zoomScale="85" zoomScaleNormal="85" workbookViewId="0">
      <selection activeCell="Q13" sqref="Q13"/>
    </sheetView>
  </sheetViews>
  <sheetFormatPr baseColWidth="10" defaultColWidth="9.140625" defaultRowHeight="15"/>
  <cols>
    <col min="2" max="2" width="21" customWidth="1"/>
    <col min="3" max="3" width="17.7109375" customWidth="1"/>
    <col min="4" max="4" width="12.28515625" customWidth="1"/>
    <col min="5" max="5" width="11.140625" style="58" customWidth="1"/>
    <col min="6" max="6" width="11.140625" style="59" customWidth="1"/>
    <col min="7" max="7" width="11.140625" style="60" customWidth="1"/>
    <col min="8" max="8" width="11.140625" style="61" customWidth="1"/>
    <col min="9" max="9" width="11.140625" style="62" customWidth="1"/>
    <col min="10" max="14" width="11.140625" style="63" customWidth="1"/>
  </cols>
  <sheetData>
    <row r="1" spans="1:14" ht="45">
      <c r="E1" s="64" t="s">
        <v>0</v>
      </c>
      <c r="F1" s="65" t="s">
        <v>1</v>
      </c>
      <c r="G1" s="66" t="s">
        <v>2</v>
      </c>
      <c r="H1" s="67" t="s">
        <v>3</v>
      </c>
      <c r="I1" s="68" t="s">
        <v>4</v>
      </c>
      <c r="J1" s="69" t="s">
        <v>5</v>
      </c>
      <c r="K1" s="70" t="s">
        <v>6</v>
      </c>
      <c r="L1" s="71" t="s">
        <v>7</v>
      </c>
      <c r="M1" s="72" t="s">
        <v>8</v>
      </c>
      <c r="N1" s="73" t="s">
        <v>9</v>
      </c>
    </row>
    <row r="2" spans="1:14">
      <c r="A2" s="74">
        <v>1</v>
      </c>
      <c r="B2" s="74" t="str">
        <f>'[1]JULIO 2024'!C5</f>
        <v>ADIELA</v>
      </c>
      <c r="C2" s="74" t="str">
        <f>'[1]JULIO 2024'!D5</f>
        <v>ALVAREZ</v>
      </c>
      <c r="D2" s="74"/>
      <c r="E2" s="75"/>
      <c r="F2" s="76"/>
      <c r="G2" s="77"/>
      <c r="H2" s="78">
        <v>1</v>
      </c>
      <c r="I2" s="79"/>
      <c r="J2" s="80">
        <v>1</v>
      </c>
      <c r="K2" s="80">
        <v>1</v>
      </c>
      <c r="L2" s="80">
        <v>1</v>
      </c>
      <c r="M2" s="80"/>
      <c r="N2" s="80"/>
    </row>
    <row r="3" spans="1:14">
      <c r="A3" s="74">
        <v>2</v>
      </c>
      <c r="B3" s="81" t="s">
        <v>10</v>
      </c>
      <c r="C3" s="82"/>
      <c r="D3" s="74"/>
      <c r="E3" s="75"/>
      <c r="F3" s="76">
        <v>1</v>
      </c>
      <c r="G3" s="77"/>
      <c r="H3" s="78"/>
      <c r="I3" s="79"/>
      <c r="J3" s="80">
        <v>0</v>
      </c>
      <c r="K3" s="80">
        <v>1</v>
      </c>
      <c r="L3" s="80">
        <v>1</v>
      </c>
      <c r="M3" s="80"/>
      <c r="N3" s="80"/>
    </row>
    <row r="4" spans="1:14">
      <c r="A4" s="74">
        <v>3</v>
      </c>
      <c r="B4" s="74" t="str">
        <f>'[1]JULIO 2024'!C6</f>
        <v>AGRIPINA</v>
      </c>
      <c r="C4" s="82" t="str">
        <f>'[1]JULIO 2024'!D6</f>
        <v>CAICEDO</v>
      </c>
      <c r="D4" s="74"/>
      <c r="E4" s="75"/>
      <c r="F4" s="76"/>
      <c r="G4" s="77"/>
      <c r="H4" s="78">
        <v>1</v>
      </c>
      <c r="I4" s="79"/>
      <c r="J4" s="80">
        <v>1</v>
      </c>
      <c r="K4" s="80">
        <v>0</v>
      </c>
      <c r="L4" s="80"/>
      <c r="M4" s="80"/>
      <c r="N4" s="80">
        <v>1</v>
      </c>
    </row>
    <row r="5" spans="1:14">
      <c r="A5" s="74">
        <v>4</v>
      </c>
      <c r="B5" s="81" t="s">
        <v>11</v>
      </c>
      <c r="C5" s="82"/>
      <c r="D5" s="74"/>
      <c r="E5" s="75">
        <v>1</v>
      </c>
      <c r="F5" s="76"/>
      <c r="G5" s="77"/>
      <c r="H5" s="78"/>
      <c r="I5" s="79"/>
      <c r="J5" s="80">
        <v>0</v>
      </c>
      <c r="K5" s="80"/>
      <c r="L5" s="80"/>
      <c r="M5" s="80">
        <v>1</v>
      </c>
      <c r="N5" s="80"/>
    </row>
    <row r="6" spans="1:14">
      <c r="A6" s="74">
        <v>5</v>
      </c>
      <c r="B6" s="74" t="str">
        <f>'[1]JULIO 2024'!C7</f>
        <v>ALEJANDRO</v>
      </c>
      <c r="C6" s="82" t="str">
        <f>'[1]JULIO 2024'!D7</f>
        <v>DELGADO</v>
      </c>
      <c r="D6" s="74"/>
      <c r="E6" s="75"/>
      <c r="F6" s="76"/>
      <c r="G6" s="77"/>
      <c r="H6" s="78"/>
      <c r="I6" s="79">
        <v>1</v>
      </c>
      <c r="J6" s="80">
        <v>1</v>
      </c>
      <c r="K6" s="80">
        <v>0</v>
      </c>
      <c r="L6" s="80">
        <v>1</v>
      </c>
      <c r="M6" s="80"/>
      <c r="N6" s="80"/>
    </row>
    <row r="7" spans="1:14">
      <c r="A7" s="74">
        <v>6</v>
      </c>
      <c r="B7" s="74" t="str">
        <f>'[1]JULIO 2024'!C8</f>
        <v>ANA MARIA</v>
      </c>
      <c r="C7" s="82" t="str">
        <f>'[1]JULIO 2024'!D8</f>
        <v>DIAZ</v>
      </c>
      <c r="D7" s="74"/>
      <c r="E7" s="75"/>
      <c r="F7" s="76"/>
      <c r="G7" s="77"/>
      <c r="H7" s="78">
        <v>1</v>
      </c>
      <c r="I7" s="79"/>
      <c r="J7" s="80">
        <v>1</v>
      </c>
      <c r="K7" s="80" t="s">
        <v>12</v>
      </c>
      <c r="L7" s="80">
        <v>1</v>
      </c>
      <c r="M7" s="80"/>
      <c r="N7" s="80"/>
    </row>
    <row r="8" spans="1:14">
      <c r="A8" s="74">
        <v>7</v>
      </c>
      <c r="B8" s="81" t="s">
        <v>13</v>
      </c>
      <c r="C8" s="82"/>
      <c r="D8" s="74"/>
      <c r="E8" s="75"/>
      <c r="F8" s="76">
        <v>1</v>
      </c>
      <c r="G8" s="77"/>
      <c r="H8" s="78"/>
      <c r="I8" s="79"/>
      <c r="J8" s="80"/>
      <c r="K8" s="80"/>
      <c r="L8" s="80"/>
      <c r="M8" s="80">
        <v>1</v>
      </c>
      <c r="N8" s="80"/>
    </row>
    <row r="9" spans="1:14">
      <c r="A9" s="74">
        <v>8</v>
      </c>
      <c r="B9" s="74" t="str">
        <f>'[1]JULIO 2024'!C9</f>
        <v>ANGELA</v>
      </c>
      <c r="C9" s="82" t="str">
        <f>'[1]JULIO 2024'!D9</f>
        <v>RIVERA</v>
      </c>
      <c r="D9" s="74"/>
      <c r="E9" s="75"/>
      <c r="F9" s="76"/>
      <c r="G9" s="77"/>
      <c r="H9" s="78">
        <v>1</v>
      </c>
      <c r="I9" s="79"/>
      <c r="J9" s="80">
        <v>0</v>
      </c>
      <c r="K9" s="80">
        <v>0</v>
      </c>
      <c r="L9" s="80">
        <v>0</v>
      </c>
      <c r="M9" s="80">
        <v>1</v>
      </c>
      <c r="N9" s="80"/>
    </row>
    <row r="10" spans="1:14">
      <c r="A10" s="74">
        <v>9</v>
      </c>
      <c r="B10" s="74" t="str">
        <f>'[1]JULIO 2024'!C10</f>
        <v>ARNOBIO ANTONIO</v>
      </c>
      <c r="C10" s="82" t="str">
        <f>'[1]JULIO 2024'!D10</f>
        <v>TABARES</v>
      </c>
      <c r="D10" s="74"/>
      <c r="E10" s="75"/>
      <c r="F10" s="76"/>
      <c r="G10" s="77"/>
      <c r="H10" s="78"/>
      <c r="I10" s="79">
        <v>1</v>
      </c>
      <c r="J10" s="80">
        <v>1</v>
      </c>
      <c r="K10" s="80">
        <v>1</v>
      </c>
      <c r="L10" s="80">
        <v>0</v>
      </c>
      <c r="M10" s="80"/>
      <c r="N10" s="80">
        <v>1</v>
      </c>
    </row>
    <row r="11" spans="1:14" ht="18" customHeight="1">
      <c r="A11" s="74">
        <v>10</v>
      </c>
      <c r="B11" s="74" t="str">
        <f>'[1]JULIO 2024'!C11</f>
        <v>AZUCENA</v>
      </c>
      <c r="C11" s="82" t="str">
        <f>'[1]JULIO 2024'!D11</f>
        <v>HERNANDEZ</v>
      </c>
      <c r="D11" s="74"/>
      <c r="E11" s="75"/>
      <c r="F11" s="76"/>
      <c r="G11" s="77"/>
      <c r="H11" s="78">
        <v>1</v>
      </c>
      <c r="I11" s="79"/>
      <c r="J11" s="80">
        <v>1</v>
      </c>
      <c r="K11" s="80">
        <v>1</v>
      </c>
      <c r="L11" s="80">
        <v>1</v>
      </c>
      <c r="M11" s="80"/>
      <c r="N11" s="80"/>
    </row>
    <row r="12" spans="1:14" s="57" customFormat="1">
      <c r="A12" s="74">
        <v>11</v>
      </c>
      <c r="B12" s="83" t="str">
        <f>'[1]JULIO 2024'!C12</f>
        <v>BEATRIZ</v>
      </c>
      <c r="C12" s="84"/>
      <c r="D12" s="83"/>
      <c r="E12" s="75"/>
      <c r="F12" s="76"/>
      <c r="G12" s="77"/>
      <c r="H12" s="78">
        <v>1</v>
      </c>
      <c r="I12" s="79"/>
      <c r="J12" s="85">
        <v>1</v>
      </c>
      <c r="K12" s="85"/>
      <c r="L12" s="85"/>
      <c r="M12" s="85"/>
      <c r="N12" s="85">
        <v>1</v>
      </c>
    </row>
    <row r="13" spans="1:14">
      <c r="A13" s="74">
        <v>12</v>
      </c>
      <c r="B13" s="74" t="str">
        <f>'[1]JULIO 2024'!C13</f>
        <v>BLANCA IRMA</v>
      </c>
      <c r="C13" s="82" t="str">
        <f>'[1]JULIO 2024'!D13</f>
        <v>IDROBO</v>
      </c>
      <c r="D13" s="74"/>
      <c r="E13" s="75"/>
      <c r="F13" s="76"/>
      <c r="G13" s="77"/>
      <c r="H13" s="78">
        <v>1</v>
      </c>
      <c r="I13" s="79"/>
      <c r="J13" s="80">
        <v>1</v>
      </c>
      <c r="K13" s="80">
        <v>1</v>
      </c>
      <c r="L13" s="80"/>
      <c r="M13" s="80">
        <v>1</v>
      </c>
      <c r="N13" s="80"/>
    </row>
    <row r="14" spans="1:14">
      <c r="A14" s="74">
        <v>13</v>
      </c>
      <c r="B14" s="81" t="s">
        <v>14</v>
      </c>
      <c r="C14" s="82"/>
      <c r="D14" s="74"/>
      <c r="E14" s="75"/>
      <c r="F14" s="76">
        <v>1</v>
      </c>
      <c r="G14" s="77"/>
      <c r="H14" s="78"/>
      <c r="I14" s="79"/>
      <c r="J14" s="80"/>
      <c r="K14" s="80"/>
      <c r="L14" s="80"/>
      <c r="M14" s="80">
        <v>1</v>
      </c>
      <c r="N14" s="80"/>
    </row>
    <row r="15" spans="1:14">
      <c r="A15" s="74">
        <v>14</v>
      </c>
      <c r="B15" s="74" t="str">
        <f>'[1]JULIO 2024'!C51</f>
        <v>CAMILA</v>
      </c>
      <c r="C15" s="82" t="str">
        <f>'[1]JULIO 2024'!D51</f>
        <v>GILON</v>
      </c>
      <c r="D15" s="74"/>
      <c r="E15" s="75"/>
      <c r="F15" s="76"/>
      <c r="G15" s="77"/>
      <c r="H15" s="78">
        <v>1</v>
      </c>
      <c r="I15" s="79"/>
      <c r="J15" s="80">
        <v>0</v>
      </c>
      <c r="K15" s="80">
        <v>0</v>
      </c>
      <c r="L15" s="80"/>
      <c r="M15" s="80">
        <v>1</v>
      </c>
      <c r="N15" s="80">
        <v>1</v>
      </c>
    </row>
    <row r="16" spans="1:14">
      <c r="A16" s="74">
        <v>15</v>
      </c>
      <c r="B16" s="74" t="str">
        <f>'[1]JULIO 2024'!C15</f>
        <v>CARLOS CESAR</v>
      </c>
      <c r="C16" s="82" t="str">
        <f>'[1]JULIO 2024'!D15</f>
        <v>ARBOLEDA</v>
      </c>
      <c r="D16" s="74"/>
      <c r="E16" s="75"/>
      <c r="F16" s="76"/>
      <c r="G16" s="77"/>
      <c r="H16" s="78"/>
      <c r="I16" s="79">
        <v>1</v>
      </c>
      <c r="J16" s="80">
        <v>1</v>
      </c>
      <c r="K16" s="80">
        <v>1</v>
      </c>
      <c r="L16" s="80"/>
      <c r="M16" s="80">
        <v>1</v>
      </c>
      <c r="N16" s="80"/>
    </row>
    <row r="17" spans="1:14">
      <c r="A17" s="74">
        <v>16</v>
      </c>
      <c r="B17" s="74" t="str">
        <f>'[1]JULIO 2024'!C17</f>
        <v>CARMEN ROSA</v>
      </c>
      <c r="C17" s="82" t="str">
        <f>'[1]JULIO 2024'!D17</f>
        <v>ZAMBRANO</v>
      </c>
      <c r="D17" s="74"/>
      <c r="E17" s="75"/>
      <c r="F17" s="76"/>
      <c r="G17" s="77"/>
      <c r="H17" s="78">
        <v>1</v>
      </c>
      <c r="I17" s="79"/>
      <c r="J17" s="80">
        <v>0</v>
      </c>
      <c r="K17" s="80">
        <v>0</v>
      </c>
      <c r="L17" s="80">
        <v>1</v>
      </c>
      <c r="M17" s="80"/>
      <c r="N17" s="80"/>
    </row>
    <row r="18" spans="1:14">
      <c r="A18" s="74">
        <v>17</v>
      </c>
      <c r="B18" s="74" t="str">
        <f>'[1]JULIO 2024'!C14</f>
        <v>CAROLINA</v>
      </c>
      <c r="C18" s="82" t="str">
        <f>'[1]JULIO 2024'!D14</f>
        <v>PINZON  (PAJOY)</v>
      </c>
      <c r="D18" s="74"/>
      <c r="E18" s="75"/>
      <c r="F18" s="76"/>
      <c r="G18" s="77">
        <v>1</v>
      </c>
      <c r="H18" s="78"/>
      <c r="I18" s="79"/>
      <c r="J18" s="80">
        <v>0</v>
      </c>
      <c r="K18" s="80">
        <v>0</v>
      </c>
      <c r="L18" s="80"/>
      <c r="M18" s="80">
        <v>1</v>
      </c>
      <c r="N18" s="80"/>
    </row>
    <row r="19" spans="1:14">
      <c r="A19" s="74">
        <v>18</v>
      </c>
      <c r="B19" s="74" t="str">
        <f>'[1]JULIO 2024'!C18</f>
        <v>DANIELA</v>
      </c>
      <c r="C19" s="82" t="str">
        <f>'[1]JULIO 2024'!D18</f>
        <v>RAMIREZ</v>
      </c>
      <c r="D19" s="74"/>
      <c r="E19" s="75"/>
      <c r="F19" s="76"/>
      <c r="G19" s="77">
        <v>1</v>
      </c>
      <c r="H19" s="78"/>
      <c r="I19" s="79"/>
      <c r="J19" s="80">
        <v>1</v>
      </c>
      <c r="K19" s="80">
        <v>1</v>
      </c>
      <c r="L19" s="80">
        <v>1</v>
      </c>
      <c r="M19" s="80"/>
      <c r="N19" s="80"/>
    </row>
    <row r="20" spans="1:14">
      <c r="A20" s="74">
        <v>19</v>
      </c>
      <c r="B20" s="81" t="s">
        <v>15</v>
      </c>
      <c r="C20" s="82"/>
      <c r="D20" s="74"/>
      <c r="E20" s="75">
        <v>1</v>
      </c>
      <c r="F20" s="76"/>
      <c r="G20" s="77"/>
      <c r="H20" s="78"/>
      <c r="I20" s="79"/>
      <c r="J20" s="80"/>
      <c r="K20" s="80"/>
      <c r="L20" s="80">
        <v>1</v>
      </c>
      <c r="M20" s="80"/>
      <c r="N20" s="80"/>
    </row>
    <row r="21" spans="1:14">
      <c r="A21" s="74">
        <v>20</v>
      </c>
      <c r="B21" s="74" t="str">
        <f>'[1]JULIO 2024'!C21</f>
        <v>DERLY DALLANA</v>
      </c>
      <c r="C21" s="82" t="str">
        <f>'[1]JULIO 2024'!D21</f>
        <v>QUIÑONES</v>
      </c>
      <c r="D21" s="74"/>
      <c r="E21" s="75"/>
      <c r="F21" s="76"/>
      <c r="G21" s="77">
        <v>1</v>
      </c>
      <c r="H21" s="78"/>
      <c r="I21" s="79"/>
      <c r="J21" s="80">
        <v>1</v>
      </c>
      <c r="K21" s="80">
        <v>1</v>
      </c>
      <c r="L21" s="80">
        <v>1</v>
      </c>
      <c r="M21" s="80"/>
      <c r="N21" s="80"/>
    </row>
    <row r="22" spans="1:14">
      <c r="A22" s="74">
        <v>21</v>
      </c>
      <c r="B22" s="81" t="str">
        <f>'[1]JULIO 2024'!C19</f>
        <v>DIANA MARIA</v>
      </c>
      <c r="C22" s="82" t="str">
        <f>'[1]JULIO 2024'!D19</f>
        <v>CARDENAS GARCIA</v>
      </c>
      <c r="D22" s="74"/>
      <c r="E22" s="75"/>
      <c r="F22" s="76">
        <v>1</v>
      </c>
      <c r="G22" s="77"/>
      <c r="H22" s="78"/>
      <c r="I22" s="79"/>
      <c r="J22" s="80">
        <v>0</v>
      </c>
      <c r="K22" s="80">
        <v>0</v>
      </c>
      <c r="L22" s="80"/>
      <c r="M22" s="80">
        <v>1</v>
      </c>
      <c r="N22" s="80"/>
    </row>
    <row r="23" spans="1:14">
      <c r="A23" s="74">
        <v>22</v>
      </c>
      <c r="B23" s="74" t="str">
        <f>'[1]JULIO 2024'!C20</f>
        <v>DIDIER</v>
      </c>
      <c r="C23" s="82" t="str">
        <f>'[1]JULIO 2024'!D20</f>
        <v>ESPOSO NATALIA</v>
      </c>
      <c r="D23" s="74"/>
      <c r="E23" s="75"/>
      <c r="F23" s="76"/>
      <c r="G23" s="77"/>
      <c r="H23" s="78"/>
      <c r="I23" s="79">
        <v>1</v>
      </c>
      <c r="J23" s="80">
        <v>0</v>
      </c>
      <c r="K23" s="80">
        <v>0</v>
      </c>
      <c r="L23" s="80"/>
      <c r="M23" s="80"/>
      <c r="N23" s="80">
        <v>1</v>
      </c>
    </row>
    <row r="24" spans="1:14" s="57" customFormat="1" ht="15" customHeight="1">
      <c r="A24" s="74">
        <v>23</v>
      </c>
      <c r="B24" s="74" t="str">
        <f>'[1]JULIO 2024'!C22</f>
        <v>EDDIE</v>
      </c>
      <c r="C24" s="82" t="str">
        <f>'[1]JULIO 2024'!D22</f>
        <v>LOPEZ</v>
      </c>
      <c r="D24" s="74"/>
      <c r="E24" s="75"/>
      <c r="F24" s="76"/>
      <c r="G24" s="77"/>
      <c r="H24" s="78"/>
      <c r="I24" s="79">
        <v>1</v>
      </c>
      <c r="J24" s="80">
        <v>1</v>
      </c>
      <c r="K24" s="80">
        <v>1</v>
      </c>
      <c r="L24" s="80">
        <v>1</v>
      </c>
      <c r="M24" s="80"/>
      <c r="N24" s="80"/>
    </row>
    <row r="25" spans="1:14">
      <c r="A25" s="74">
        <v>24</v>
      </c>
      <c r="B25" s="83" t="str">
        <f>'[1]JULIO 2024'!C23</f>
        <v>EDWIN ORTIZ</v>
      </c>
      <c r="C25" s="84"/>
      <c r="D25" s="83"/>
      <c r="E25" s="75"/>
      <c r="F25" s="76"/>
      <c r="G25" s="77"/>
      <c r="H25" s="78"/>
      <c r="I25" s="79">
        <v>1</v>
      </c>
      <c r="J25" s="85"/>
      <c r="K25" s="85">
        <v>0</v>
      </c>
      <c r="L25" s="85"/>
      <c r="M25" s="85">
        <v>1</v>
      </c>
      <c r="N25" s="85"/>
    </row>
    <row r="26" spans="1:14">
      <c r="A26" s="74">
        <v>25</v>
      </c>
      <c r="B26" s="74" t="str">
        <f>'[1]JULIO 2024'!C24</f>
        <v>ELADIO</v>
      </c>
      <c r="C26" s="82" t="str">
        <f>'[1]JULIO 2024'!D24</f>
        <v>CARABALI</v>
      </c>
      <c r="D26" s="74"/>
      <c r="E26" s="75"/>
      <c r="F26" s="76"/>
      <c r="G26" s="77"/>
      <c r="H26" s="78"/>
      <c r="I26" s="79">
        <v>1</v>
      </c>
      <c r="J26" s="80">
        <v>1</v>
      </c>
      <c r="K26" s="80">
        <v>0</v>
      </c>
      <c r="L26" s="80">
        <v>1</v>
      </c>
      <c r="M26" s="80"/>
      <c r="N26" s="80"/>
    </row>
    <row r="27" spans="1:14">
      <c r="A27" s="74">
        <v>26</v>
      </c>
      <c r="B27" s="74" t="str">
        <f>'[1]JULIO 2024'!C25</f>
        <v>ELIECER</v>
      </c>
      <c r="C27" s="82" t="str">
        <f>'[1]JULIO 2024'!D25</f>
        <v>GONZALEZ</v>
      </c>
      <c r="D27" s="74"/>
      <c r="E27" s="75"/>
      <c r="F27" s="76"/>
      <c r="G27" s="77"/>
      <c r="H27" s="78"/>
      <c r="I27" s="79">
        <v>1</v>
      </c>
      <c r="J27" s="80">
        <v>1</v>
      </c>
      <c r="K27" s="80">
        <v>0</v>
      </c>
      <c r="L27" s="80">
        <v>1</v>
      </c>
      <c r="M27" s="80"/>
      <c r="N27" s="80"/>
    </row>
    <row r="28" spans="1:14">
      <c r="A28" s="74">
        <v>27</v>
      </c>
      <c r="B28" s="74" t="str">
        <f>'[1]JULIO 2024'!C26</f>
        <v>ELVIA</v>
      </c>
      <c r="C28" s="82" t="str">
        <f>'[1]JULIO 2024'!D26</f>
        <v>LASSO</v>
      </c>
      <c r="D28" s="74"/>
      <c r="E28" s="75"/>
      <c r="F28" s="76"/>
      <c r="G28" s="77"/>
      <c r="H28" s="78">
        <v>1</v>
      </c>
      <c r="I28" s="79"/>
      <c r="J28" s="80">
        <v>1</v>
      </c>
      <c r="K28" s="80"/>
      <c r="L28" s="80">
        <v>1</v>
      </c>
      <c r="M28" s="80"/>
      <c r="N28" s="80"/>
    </row>
    <row r="29" spans="1:14">
      <c r="A29" s="74">
        <v>28</v>
      </c>
      <c r="B29" s="81" t="str">
        <f>'[1]JULIO 2024'!C27</f>
        <v>EMMANUEL</v>
      </c>
      <c r="C29" s="82" t="str">
        <f>'[1]JULIO 2024'!D27</f>
        <v>LOPEZ</v>
      </c>
      <c r="D29" s="74"/>
      <c r="E29" s="75"/>
      <c r="F29" s="76">
        <v>1</v>
      </c>
      <c r="G29" s="77"/>
      <c r="H29" s="78"/>
      <c r="I29" s="79"/>
      <c r="J29" s="80">
        <v>1</v>
      </c>
      <c r="K29" s="80"/>
      <c r="L29" s="80">
        <v>1</v>
      </c>
      <c r="M29" s="80"/>
      <c r="N29" s="80"/>
    </row>
    <row r="30" spans="1:14">
      <c r="A30" s="74">
        <v>29</v>
      </c>
      <c r="B30" s="74" t="str">
        <f>'[1]JULIO 2024'!C28</f>
        <v>ENRIQUE</v>
      </c>
      <c r="C30" s="82" t="str">
        <f>'[1]JULIO 2024'!D28</f>
        <v>PUERTA</v>
      </c>
      <c r="D30" s="74"/>
      <c r="E30" s="75"/>
      <c r="F30" s="76"/>
      <c r="G30" s="77"/>
      <c r="H30" s="78"/>
      <c r="I30" s="79">
        <v>1</v>
      </c>
      <c r="J30" s="80">
        <v>1</v>
      </c>
      <c r="K30" s="80"/>
      <c r="L30" s="80"/>
      <c r="M30" s="80">
        <v>1</v>
      </c>
      <c r="N30" s="80"/>
    </row>
    <row r="31" spans="1:14" s="57" customFormat="1">
      <c r="A31" s="74">
        <v>30</v>
      </c>
      <c r="B31" s="74" t="str">
        <f>'[1]JULIO 2024'!C29</f>
        <v>FABRICIO</v>
      </c>
      <c r="C31" s="82"/>
      <c r="D31" s="74"/>
      <c r="E31" s="75"/>
      <c r="F31" s="76"/>
      <c r="G31" s="77"/>
      <c r="H31" s="78"/>
      <c r="I31" s="79">
        <v>1</v>
      </c>
      <c r="J31" s="80">
        <v>1</v>
      </c>
      <c r="K31" s="80"/>
      <c r="L31" s="80">
        <v>1</v>
      </c>
      <c r="M31" s="80"/>
      <c r="N31" s="80"/>
    </row>
    <row r="32" spans="1:14">
      <c r="A32" s="74">
        <v>31</v>
      </c>
      <c r="B32" s="83" t="str">
        <f>'[1]JULIO 2024'!C89</f>
        <v>FANNY</v>
      </c>
      <c r="C32" s="84" t="str">
        <f>'[1]JULIO 2024'!D89</f>
        <v>BALLESTEROS</v>
      </c>
      <c r="D32" s="83"/>
      <c r="E32" s="75"/>
      <c r="F32" s="76"/>
      <c r="G32" s="77"/>
      <c r="H32" s="78">
        <v>1</v>
      </c>
      <c r="I32" s="79"/>
      <c r="J32" s="85">
        <v>1</v>
      </c>
      <c r="K32" s="85"/>
      <c r="L32" s="85"/>
      <c r="M32" s="85"/>
      <c r="N32" s="85">
        <v>1</v>
      </c>
    </row>
    <row r="33" spans="1:14">
      <c r="A33" s="74">
        <v>32</v>
      </c>
      <c r="B33" s="74" t="str">
        <f>'[1]JULIO 2024'!C30</f>
        <v>FERNANDO</v>
      </c>
      <c r="C33" s="82" t="str">
        <f>'[1]JULIO 2024'!D30</f>
        <v>VILLARREAL</v>
      </c>
      <c r="D33" s="74"/>
      <c r="E33" s="75"/>
      <c r="F33" s="76"/>
      <c r="G33" s="77"/>
      <c r="H33" s="78"/>
      <c r="I33" s="79">
        <v>1</v>
      </c>
      <c r="J33" s="80">
        <v>1</v>
      </c>
      <c r="K33" s="80"/>
      <c r="L33" s="80">
        <v>1</v>
      </c>
      <c r="M33" s="80"/>
      <c r="N33" s="80"/>
    </row>
    <row r="34" spans="1:14">
      <c r="A34" s="74">
        <v>33</v>
      </c>
      <c r="B34" s="74" t="str">
        <f>'[1]JULIO 2024'!C31</f>
        <v>FLOR (MARIA ZALIA)</v>
      </c>
      <c r="C34" s="82" t="str">
        <f>'[1]JULIO 2024'!D31</f>
        <v>MARIN</v>
      </c>
      <c r="D34" s="74"/>
      <c r="E34" s="75"/>
      <c r="F34" s="76"/>
      <c r="G34" s="77"/>
      <c r="H34" s="78">
        <v>1</v>
      </c>
      <c r="I34" s="79"/>
      <c r="J34" s="80">
        <v>1</v>
      </c>
      <c r="K34" s="80">
        <v>1</v>
      </c>
      <c r="L34" s="80">
        <v>1</v>
      </c>
      <c r="M34" s="80"/>
      <c r="N34" s="80"/>
    </row>
    <row r="35" spans="1:14">
      <c r="A35" s="74">
        <v>34</v>
      </c>
      <c r="B35" s="81" t="s">
        <v>16</v>
      </c>
      <c r="C35" s="82"/>
      <c r="D35" s="74"/>
      <c r="E35" s="75">
        <v>1</v>
      </c>
      <c r="F35" s="76"/>
      <c r="G35" s="77"/>
      <c r="H35" s="78"/>
      <c r="I35" s="79"/>
      <c r="J35" s="80"/>
      <c r="K35" s="80"/>
      <c r="L35" s="80">
        <v>1</v>
      </c>
      <c r="M35" s="80"/>
      <c r="N35" s="80"/>
    </row>
    <row r="36" spans="1:14" s="57" customFormat="1">
      <c r="A36" s="74">
        <v>35</v>
      </c>
      <c r="B36" s="81" t="s">
        <v>17</v>
      </c>
      <c r="C36" s="82"/>
      <c r="D36" s="74"/>
      <c r="E36" s="75">
        <v>1</v>
      </c>
      <c r="F36" s="76"/>
      <c r="G36" s="77"/>
      <c r="H36" s="78"/>
      <c r="I36" s="79"/>
      <c r="J36" s="80"/>
      <c r="K36" s="80"/>
      <c r="L36" s="80">
        <v>1</v>
      </c>
      <c r="M36" s="80"/>
      <c r="N36" s="80"/>
    </row>
    <row r="37" spans="1:14">
      <c r="A37" s="74">
        <v>36</v>
      </c>
      <c r="B37" s="74" t="str">
        <f>'[1]JULIO 2024'!C32</f>
        <v>FREDDY</v>
      </c>
      <c r="C37" s="82" t="str">
        <f>'[1]JULIO 2024'!D32</f>
        <v>CANO</v>
      </c>
      <c r="D37" s="74"/>
      <c r="E37" s="75"/>
      <c r="F37" s="76"/>
      <c r="G37" s="77"/>
      <c r="H37" s="78"/>
      <c r="I37" s="79">
        <v>1</v>
      </c>
      <c r="J37" s="80">
        <v>1</v>
      </c>
      <c r="K37" s="80"/>
      <c r="L37" s="80"/>
      <c r="M37" s="80">
        <v>1</v>
      </c>
      <c r="N37" s="80"/>
    </row>
    <row r="38" spans="1:14">
      <c r="A38" s="74">
        <v>37</v>
      </c>
      <c r="B38" s="81" t="str">
        <f>'[1]JULIO 2024'!C33</f>
        <v>GABRIELA</v>
      </c>
      <c r="C38" s="82" t="str">
        <f>'[1]JULIO 2024'!D33</f>
        <v>GUERRERO</v>
      </c>
      <c r="D38" s="74"/>
      <c r="E38" s="75">
        <v>1</v>
      </c>
      <c r="F38" s="76"/>
      <c r="G38" s="77"/>
      <c r="H38" s="78"/>
      <c r="I38" s="79"/>
      <c r="J38" s="80">
        <v>0</v>
      </c>
      <c r="K38" s="80"/>
      <c r="L38" s="80">
        <v>1</v>
      </c>
      <c r="M38" s="80"/>
      <c r="N38" s="80"/>
    </row>
    <row r="39" spans="1:14">
      <c r="A39" s="74">
        <v>38</v>
      </c>
      <c r="B39" s="81" t="s">
        <v>18</v>
      </c>
      <c r="C39" s="82"/>
      <c r="D39" s="74"/>
      <c r="E39" s="75">
        <v>1</v>
      </c>
      <c r="F39" s="76"/>
      <c r="G39" s="77"/>
      <c r="H39" s="78"/>
      <c r="I39" s="79"/>
      <c r="J39" s="80"/>
      <c r="K39" s="80"/>
      <c r="L39" s="80"/>
      <c r="M39" s="80">
        <v>1</v>
      </c>
      <c r="N39" s="80"/>
    </row>
    <row r="40" spans="1:14">
      <c r="A40" s="74">
        <v>39</v>
      </c>
      <c r="B40" s="83" t="str">
        <f>'[1]JULIO 2024'!C34</f>
        <v>GILBERTH ANDRÉS</v>
      </c>
      <c r="C40" s="84" t="str">
        <f>'[1]JULIO 2024'!D34</f>
        <v>ZUÑIGA</v>
      </c>
      <c r="D40" s="83"/>
      <c r="E40" s="75"/>
      <c r="F40" s="76"/>
      <c r="G40" s="77">
        <v>1</v>
      </c>
      <c r="H40" s="78"/>
      <c r="I40" s="79"/>
      <c r="J40" s="85">
        <v>0</v>
      </c>
      <c r="K40" s="85"/>
      <c r="L40" s="85"/>
      <c r="M40" s="85"/>
      <c r="N40" s="85">
        <v>1</v>
      </c>
    </row>
    <row r="41" spans="1:14">
      <c r="A41" s="74">
        <v>40</v>
      </c>
      <c r="B41" s="74" t="str">
        <f>'[1]JULIO 2024'!C35</f>
        <v>GILMA LILIANA</v>
      </c>
      <c r="C41" s="82" t="str">
        <f>'[1]JULIO 2024'!D35</f>
        <v>ORDOÑES</v>
      </c>
      <c r="D41" s="74"/>
      <c r="E41" s="75"/>
      <c r="F41" s="76"/>
      <c r="G41" s="77"/>
      <c r="H41" s="78">
        <v>1</v>
      </c>
      <c r="I41" s="79"/>
      <c r="J41" s="80">
        <v>1</v>
      </c>
      <c r="K41" s="80">
        <v>1</v>
      </c>
      <c r="L41" s="80">
        <v>1</v>
      </c>
      <c r="M41" s="80"/>
      <c r="N41" s="80"/>
    </row>
    <row r="42" spans="1:14">
      <c r="A42" s="74">
        <v>41</v>
      </c>
      <c r="B42" s="74" t="str">
        <f>'[1]JULIO 2024'!C36</f>
        <v>GLADIS</v>
      </c>
      <c r="C42" s="82" t="str">
        <f>'[1]JULIO 2024'!D36</f>
        <v>VALENCIA</v>
      </c>
      <c r="D42" s="74"/>
      <c r="E42" s="75"/>
      <c r="F42" s="76"/>
      <c r="G42" s="77"/>
      <c r="H42" s="78">
        <v>1</v>
      </c>
      <c r="I42" s="79"/>
      <c r="J42" s="80">
        <v>1</v>
      </c>
      <c r="K42" s="80"/>
      <c r="L42" s="80"/>
      <c r="M42" s="80"/>
      <c r="N42" s="80">
        <v>1</v>
      </c>
    </row>
    <row r="43" spans="1:14">
      <c r="A43" s="74">
        <v>42</v>
      </c>
      <c r="B43" s="74" t="str">
        <f>'[1]JULIO 2024'!C37</f>
        <v>GLORIA</v>
      </c>
      <c r="C43" s="82" t="str">
        <f>'[1]JULIO 2024'!D37</f>
        <v>PAJOY</v>
      </c>
      <c r="D43" s="74"/>
      <c r="E43" s="75"/>
      <c r="F43" s="76"/>
      <c r="G43" s="77"/>
      <c r="H43" s="78">
        <v>1</v>
      </c>
      <c r="I43" s="79"/>
      <c r="J43" s="80">
        <v>1</v>
      </c>
      <c r="K43" s="80"/>
      <c r="L43" s="80"/>
      <c r="M43" s="80">
        <v>1</v>
      </c>
      <c r="N43" s="80"/>
    </row>
    <row r="44" spans="1:14">
      <c r="A44" s="74">
        <v>43</v>
      </c>
      <c r="B44" s="74" t="str">
        <f>'[1]JULIO 2024'!C39</f>
        <v>GUSTAVO</v>
      </c>
      <c r="C44" s="82" t="str">
        <f>'[1]JULIO 2024'!D39</f>
        <v>ASPRILLA</v>
      </c>
      <c r="D44" s="74"/>
      <c r="E44" s="75"/>
      <c r="F44" s="76"/>
      <c r="G44" s="77"/>
      <c r="H44" s="78"/>
      <c r="I44" s="79">
        <v>1</v>
      </c>
      <c r="J44" s="80"/>
      <c r="K44" s="80"/>
      <c r="L44" s="80"/>
      <c r="M44" s="80">
        <v>1</v>
      </c>
      <c r="N44" s="80"/>
    </row>
    <row r="45" spans="1:14">
      <c r="A45" s="74">
        <v>44</v>
      </c>
      <c r="B45" s="74" t="str">
        <f>'[1]JULIO 2024'!C40</f>
        <v>GUSTAVO</v>
      </c>
      <c r="C45" s="82" t="str">
        <f>'[1]JULIO 2024'!D40</f>
        <v>GONZALEZ</v>
      </c>
      <c r="D45" s="74"/>
      <c r="E45" s="75"/>
      <c r="F45" s="76"/>
      <c r="G45" s="77"/>
      <c r="H45" s="78"/>
      <c r="I45" s="79">
        <v>1</v>
      </c>
      <c r="J45" s="80">
        <v>1</v>
      </c>
      <c r="K45" s="80">
        <v>1</v>
      </c>
      <c r="L45" s="80">
        <v>1</v>
      </c>
      <c r="M45" s="80"/>
      <c r="N45" s="80"/>
    </row>
    <row r="46" spans="1:14">
      <c r="A46" s="74">
        <v>45</v>
      </c>
      <c r="B46" s="74" t="str">
        <f>'[1]JULIO 2024'!C41</f>
        <v>INÉS</v>
      </c>
      <c r="C46" s="82" t="str">
        <f>'[1]JULIO 2024'!D41</f>
        <v>DORONSORO</v>
      </c>
      <c r="D46" s="74"/>
      <c r="E46" s="75"/>
      <c r="F46" s="76"/>
      <c r="G46" s="77"/>
      <c r="H46" s="78">
        <v>1</v>
      </c>
      <c r="I46" s="79"/>
      <c r="J46" s="80">
        <v>1</v>
      </c>
      <c r="K46" s="80"/>
      <c r="L46" s="80">
        <v>1</v>
      </c>
      <c r="M46" s="80"/>
      <c r="N46" s="80"/>
    </row>
    <row r="47" spans="1:14">
      <c r="A47" s="74">
        <v>46</v>
      </c>
      <c r="B47" s="74" t="str">
        <f>'[1]JULIO 2024'!C42</f>
        <v>INGRID VANESSA</v>
      </c>
      <c r="C47" s="82" t="str">
        <f>'[1]JULIO 2024'!D42</f>
        <v>OCAMPO</v>
      </c>
      <c r="D47" s="74"/>
      <c r="E47" s="75"/>
      <c r="F47" s="76"/>
      <c r="G47" s="77"/>
      <c r="H47" s="78">
        <v>1</v>
      </c>
      <c r="I47" s="79"/>
      <c r="J47" s="80">
        <v>1</v>
      </c>
      <c r="K47" s="80"/>
      <c r="L47" s="80"/>
      <c r="M47" s="80"/>
      <c r="N47" s="80">
        <v>1</v>
      </c>
    </row>
    <row r="48" spans="1:14">
      <c r="A48" s="74">
        <v>47</v>
      </c>
      <c r="B48" s="74" t="str">
        <f>'[1]JULIO 2024'!C43</f>
        <v>ISABEL</v>
      </c>
      <c r="C48" s="82" t="str">
        <f>'[1]JULIO 2024'!D43</f>
        <v>DAZA</v>
      </c>
      <c r="D48" s="74"/>
      <c r="E48" s="75"/>
      <c r="F48" s="76">
        <v>1</v>
      </c>
      <c r="G48" s="77"/>
      <c r="H48" s="78"/>
      <c r="I48" s="79"/>
      <c r="J48" s="80">
        <v>1</v>
      </c>
      <c r="K48" s="80"/>
      <c r="L48" s="80"/>
      <c r="M48" s="80">
        <v>1</v>
      </c>
      <c r="N48" s="80"/>
    </row>
    <row r="49" spans="1:14">
      <c r="A49" s="74">
        <v>48</v>
      </c>
      <c r="B49" s="74" t="str">
        <f>'[1]JULIO 2024'!C44</f>
        <v>JAIRO</v>
      </c>
      <c r="C49" s="82" t="str">
        <f>'[1]JULIO 2024'!D44</f>
        <v>SOTO</v>
      </c>
      <c r="D49" s="74"/>
      <c r="E49" s="75"/>
      <c r="F49" s="76"/>
      <c r="G49" s="77"/>
      <c r="H49" s="78"/>
      <c r="I49" s="79">
        <v>1</v>
      </c>
      <c r="J49" s="80">
        <v>1</v>
      </c>
      <c r="K49" s="80"/>
      <c r="L49" s="80">
        <v>1</v>
      </c>
      <c r="M49" s="80"/>
      <c r="N49" s="80"/>
    </row>
    <row r="50" spans="1:14">
      <c r="A50" s="74">
        <v>49</v>
      </c>
      <c r="B50" s="74" t="str">
        <f>'[1]JULIO 2024'!C45</f>
        <v>JENNY</v>
      </c>
      <c r="C50" s="82" t="str">
        <f>'[1]JULIO 2024'!D45</f>
        <v>RODRIGUEZ</v>
      </c>
      <c r="D50" s="74"/>
      <c r="E50" s="75"/>
      <c r="F50" s="76"/>
      <c r="G50" s="77"/>
      <c r="H50" s="78">
        <v>1</v>
      </c>
      <c r="I50" s="79"/>
      <c r="J50" s="80">
        <v>1</v>
      </c>
      <c r="K50" s="80">
        <v>1</v>
      </c>
      <c r="L50" s="80">
        <v>1</v>
      </c>
      <c r="M50" s="80"/>
      <c r="N50" s="80"/>
    </row>
    <row r="51" spans="1:14">
      <c r="A51" s="74">
        <v>50</v>
      </c>
      <c r="B51" s="74" t="str">
        <f>'[1]JULIO 2024'!C91</f>
        <v>JOSE</v>
      </c>
      <c r="C51" s="82" t="str">
        <f>'[1]JULIO 2024'!D91</f>
        <v>BEDER</v>
      </c>
      <c r="D51" s="74"/>
      <c r="E51" s="75"/>
      <c r="F51" s="76"/>
      <c r="G51" s="77"/>
      <c r="H51" s="78"/>
      <c r="I51" s="79">
        <v>1</v>
      </c>
      <c r="J51" s="80">
        <v>1</v>
      </c>
      <c r="K51" s="80"/>
      <c r="L51" s="80"/>
      <c r="M51" s="80">
        <v>1</v>
      </c>
      <c r="N51" s="80"/>
    </row>
    <row r="52" spans="1:14">
      <c r="A52" s="74">
        <v>51</v>
      </c>
      <c r="B52" s="74" t="str">
        <f>'[1]JULIO 2024'!C46</f>
        <v>JOSE LUIS</v>
      </c>
      <c r="C52" s="82" t="str">
        <f>'[1]JULIO 2024'!D46</f>
        <v>GUERRERO</v>
      </c>
      <c r="D52" s="74"/>
      <c r="E52" s="75"/>
      <c r="F52" s="76"/>
      <c r="G52" s="77"/>
      <c r="H52" s="78"/>
      <c r="I52" s="79">
        <v>1</v>
      </c>
      <c r="J52" s="80">
        <v>1</v>
      </c>
      <c r="K52" s="80"/>
      <c r="L52" s="80">
        <v>1</v>
      </c>
      <c r="M52" s="80"/>
      <c r="N52" s="80"/>
    </row>
    <row r="53" spans="1:14">
      <c r="A53" s="74">
        <v>52</v>
      </c>
      <c r="B53" s="74" t="str">
        <f>'[1]JULIO 2024'!C47</f>
        <v>JUAN CAMILO</v>
      </c>
      <c r="C53" s="82" t="str">
        <f>'[1]JULIO 2024'!D47</f>
        <v>MILLAN</v>
      </c>
      <c r="D53" s="74"/>
      <c r="E53" s="75"/>
      <c r="F53" s="76"/>
      <c r="G53" s="77">
        <v>1</v>
      </c>
      <c r="H53" s="78"/>
      <c r="I53" s="79"/>
      <c r="J53" s="80">
        <v>1</v>
      </c>
      <c r="K53" s="80">
        <v>1</v>
      </c>
      <c r="L53" s="80">
        <v>1</v>
      </c>
      <c r="M53" s="80"/>
      <c r="N53" s="80"/>
    </row>
    <row r="54" spans="1:14">
      <c r="A54" s="74">
        <v>53</v>
      </c>
      <c r="B54" s="74" t="str">
        <f>'[1]JULIO 2024'!C48</f>
        <v>KATY</v>
      </c>
      <c r="C54" s="82" t="str">
        <f>'[1]JULIO 2024'!D48</f>
        <v>SERRANO</v>
      </c>
      <c r="D54" s="74"/>
      <c r="E54" s="75"/>
      <c r="F54" s="76"/>
      <c r="G54" s="77"/>
      <c r="H54" s="78">
        <v>1</v>
      </c>
      <c r="I54" s="79"/>
      <c r="J54" s="80">
        <v>1</v>
      </c>
      <c r="K54" s="80">
        <v>1</v>
      </c>
      <c r="L54" s="80">
        <v>1</v>
      </c>
      <c r="M54" s="80"/>
      <c r="N54" s="80"/>
    </row>
    <row r="55" spans="1:14">
      <c r="A55" s="74">
        <v>54</v>
      </c>
      <c r="B55" s="74" t="str">
        <f>'[1]JULIO 2024'!C49</f>
        <v>LEIDY DAVIHANA</v>
      </c>
      <c r="C55" s="82" t="str">
        <f>'[1]JULIO 2024'!D49</f>
        <v>ZAMORANO</v>
      </c>
      <c r="D55" s="74"/>
      <c r="E55" s="75"/>
      <c r="F55" s="76"/>
      <c r="G55" s="77"/>
      <c r="H55" s="78">
        <v>1</v>
      </c>
      <c r="I55" s="79"/>
      <c r="J55" s="80">
        <v>1</v>
      </c>
      <c r="K55" s="80"/>
      <c r="L55" s="80">
        <v>1</v>
      </c>
      <c r="M55" s="80"/>
      <c r="N55" s="80"/>
    </row>
    <row r="56" spans="1:14">
      <c r="A56" s="74">
        <v>55</v>
      </c>
      <c r="B56" s="74" t="str">
        <f>'[1]JULIO 2024'!C52</f>
        <v>LILIANA</v>
      </c>
      <c r="C56" s="82" t="str">
        <f>'[1]JULIO 2024'!D52</f>
        <v>GUERRERO</v>
      </c>
      <c r="D56" s="74"/>
      <c r="E56" s="75"/>
      <c r="F56" s="76"/>
      <c r="G56" s="77"/>
      <c r="H56" s="78">
        <v>1</v>
      </c>
      <c r="I56" s="79"/>
      <c r="J56" s="80">
        <v>1</v>
      </c>
      <c r="K56" s="80">
        <v>1</v>
      </c>
      <c r="L56" s="80">
        <v>1</v>
      </c>
      <c r="M56" s="80"/>
      <c r="N56" s="80"/>
    </row>
    <row r="57" spans="1:14">
      <c r="A57" s="74">
        <v>56</v>
      </c>
      <c r="B57" s="74" t="str">
        <f>'[1]JULIO 2024'!C55</f>
        <v>LISBETH</v>
      </c>
      <c r="C57" s="82" t="str">
        <f>'[1]JULIO 2024'!D55</f>
        <v>GALLEGOS</v>
      </c>
      <c r="D57" s="74"/>
      <c r="E57" s="75"/>
      <c r="F57" s="76"/>
      <c r="G57" s="77"/>
      <c r="H57" s="78">
        <v>1</v>
      </c>
      <c r="I57" s="79"/>
      <c r="J57" s="80">
        <v>1</v>
      </c>
      <c r="K57" s="80"/>
      <c r="L57" s="80">
        <v>1</v>
      </c>
      <c r="M57" s="80"/>
      <c r="N57" s="80"/>
    </row>
    <row r="58" spans="1:14">
      <c r="A58" s="74">
        <v>57</v>
      </c>
      <c r="B58" s="74" t="str">
        <f>'[1]JULIO 2024'!C56</f>
        <v>LUIS ALBERTO</v>
      </c>
      <c r="C58" s="82" t="str">
        <f>'[1]JULIO 2024'!D56</f>
        <v>GARCÍA</v>
      </c>
      <c r="D58" s="74"/>
      <c r="E58" s="75"/>
      <c r="F58" s="76"/>
      <c r="G58" s="77"/>
      <c r="H58" s="78"/>
      <c r="I58" s="79">
        <v>1</v>
      </c>
      <c r="J58" s="80">
        <v>1</v>
      </c>
      <c r="K58" s="80"/>
      <c r="L58" s="80">
        <v>1</v>
      </c>
      <c r="M58" s="80"/>
      <c r="N58" s="80"/>
    </row>
    <row r="59" spans="1:14">
      <c r="A59" s="74">
        <v>58</v>
      </c>
      <c r="B59" s="74" t="str">
        <f>'[1]JULIO 2024'!C57</f>
        <v>LUIS ALBERTO</v>
      </c>
      <c r="C59" s="82" t="str">
        <f>'[1]JULIO 2024'!D57</f>
        <v>RAMIREZ</v>
      </c>
      <c r="D59" s="74"/>
      <c r="E59" s="75"/>
      <c r="F59" s="76"/>
      <c r="G59" s="77"/>
      <c r="H59" s="78"/>
      <c r="I59" s="79">
        <v>1</v>
      </c>
      <c r="J59" s="80">
        <v>1</v>
      </c>
      <c r="K59" s="80"/>
      <c r="L59" s="80"/>
      <c r="M59" s="80">
        <v>1</v>
      </c>
      <c r="N59" s="80"/>
    </row>
    <row r="60" spans="1:14">
      <c r="A60" s="74">
        <v>59</v>
      </c>
      <c r="B60" s="74" t="str">
        <f>'[1]JULIO 2024'!C58</f>
        <v>LUIS DAVID</v>
      </c>
      <c r="C60" s="82" t="str">
        <f>'[1]JULIO 2024'!D58</f>
        <v>MILLAN</v>
      </c>
      <c r="D60" s="74"/>
      <c r="E60" s="75"/>
      <c r="F60" s="76"/>
      <c r="G60" s="77">
        <v>1</v>
      </c>
      <c r="H60" s="78"/>
      <c r="I60" s="79"/>
      <c r="J60" s="80">
        <v>1</v>
      </c>
      <c r="K60" s="80">
        <v>1</v>
      </c>
      <c r="L60" s="80">
        <v>1</v>
      </c>
      <c r="M60" s="80"/>
      <c r="N60" s="80"/>
    </row>
    <row r="61" spans="1:14">
      <c r="A61" s="74">
        <v>60</v>
      </c>
      <c r="B61" s="74" t="str">
        <f>'[1]JULIO 2024'!C59</f>
        <v>MARCELA</v>
      </c>
      <c r="C61" s="82" t="str">
        <f>'[1]JULIO 2024'!D59</f>
        <v>MARIN OCAMPO</v>
      </c>
      <c r="D61" s="74"/>
      <c r="E61" s="75"/>
      <c r="F61" s="76"/>
      <c r="G61" s="77"/>
      <c r="H61" s="78">
        <v>1</v>
      </c>
      <c r="I61" s="79"/>
      <c r="J61" s="80">
        <v>1</v>
      </c>
      <c r="K61" s="80"/>
      <c r="L61" s="80">
        <v>1</v>
      </c>
      <c r="M61" s="80"/>
      <c r="N61" s="80"/>
    </row>
    <row r="62" spans="1:14">
      <c r="A62" s="74">
        <v>61</v>
      </c>
      <c r="B62" s="74" t="str">
        <f>'[1]JULIO 2024'!C60</f>
        <v>MARIA</v>
      </c>
      <c r="C62" s="82" t="str">
        <f>'[1]JULIO 2024'!D60</f>
        <v>GLENNIS</v>
      </c>
      <c r="D62" s="74"/>
      <c r="E62" s="75"/>
      <c r="F62" s="76"/>
      <c r="G62" s="77"/>
      <c r="H62" s="78">
        <v>1</v>
      </c>
      <c r="I62" s="79"/>
      <c r="J62" s="80">
        <v>1</v>
      </c>
      <c r="K62" s="80"/>
      <c r="L62" s="80">
        <v>1</v>
      </c>
      <c r="M62" s="80"/>
      <c r="N62" s="80"/>
    </row>
    <row r="63" spans="1:14">
      <c r="A63" s="74">
        <v>62</v>
      </c>
      <c r="B63" s="74" t="str">
        <f>'[1]JULIO 2024'!C61</f>
        <v>MARIA (ZITA)</v>
      </c>
      <c r="C63" s="82" t="str">
        <f>'[1]JULIO 2024'!D61</f>
        <v>RAMIREZ</v>
      </c>
      <c r="D63" s="74"/>
      <c r="E63" s="75"/>
      <c r="F63" s="76"/>
      <c r="G63" s="77"/>
      <c r="H63" s="78">
        <v>1</v>
      </c>
      <c r="I63" s="79"/>
      <c r="J63" s="80">
        <v>1</v>
      </c>
      <c r="K63" s="80"/>
      <c r="L63" s="80"/>
      <c r="M63" s="80"/>
      <c r="N63" s="80">
        <v>1</v>
      </c>
    </row>
    <row r="64" spans="1:14">
      <c r="A64" s="74">
        <v>63</v>
      </c>
      <c r="B64" s="74" t="str">
        <f>'[1]JULIO 2024'!C63</f>
        <v>MARLENE</v>
      </c>
      <c r="C64" s="82" t="str">
        <f>'[1]JULIO 2024'!D63</f>
        <v>GARCIA</v>
      </c>
      <c r="D64" s="74"/>
      <c r="E64" s="75"/>
      <c r="F64" s="76"/>
      <c r="G64" s="77"/>
      <c r="H64" s="78">
        <v>1</v>
      </c>
      <c r="I64" s="79"/>
      <c r="J64" s="80">
        <v>1</v>
      </c>
      <c r="K64" s="80">
        <v>1</v>
      </c>
      <c r="L64" s="80">
        <v>1</v>
      </c>
      <c r="M64" s="80"/>
      <c r="N64" s="80"/>
    </row>
    <row r="65" spans="1:14">
      <c r="A65" s="74">
        <v>64</v>
      </c>
      <c r="B65" s="74" t="str">
        <f>'[1]JULIO 2024'!C64</f>
        <v>MARLENY</v>
      </c>
      <c r="C65" s="82" t="str">
        <f>'[1]JULIO 2024'!D64</f>
        <v>VERGARA</v>
      </c>
      <c r="D65" s="74"/>
      <c r="E65" s="75"/>
      <c r="F65" s="76"/>
      <c r="G65" s="77"/>
      <c r="H65" s="78">
        <v>1</v>
      </c>
      <c r="I65" s="79"/>
      <c r="J65" s="80">
        <v>1</v>
      </c>
      <c r="K65" s="80">
        <v>1</v>
      </c>
      <c r="L65" s="80">
        <v>1</v>
      </c>
      <c r="M65" s="80"/>
      <c r="N65" s="80"/>
    </row>
    <row r="66" spans="1:14">
      <c r="A66" s="74">
        <v>65</v>
      </c>
      <c r="B66" s="74" t="str">
        <f>'[1]JULIO 2024'!C65</f>
        <v>NATALIA</v>
      </c>
      <c r="C66" s="82" t="str">
        <f>'[1]JULIO 2024'!D65</f>
        <v>SANCHEZ</v>
      </c>
      <c r="D66" s="74"/>
      <c r="E66" s="75"/>
      <c r="F66" s="76"/>
      <c r="G66" s="77">
        <v>1</v>
      </c>
      <c r="H66" s="78"/>
      <c r="I66" s="79"/>
      <c r="J66" s="80">
        <v>0</v>
      </c>
      <c r="K66" s="80"/>
      <c r="L66" s="80"/>
      <c r="M66" s="80">
        <v>1</v>
      </c>
      <c r="N66" s="80"/>
    </row>
    <row r="67" spans="1:14">
      <c r="A67" s="74">
        <v>66</v>
      </c>
      <c r="B67" s="74" t="str">
        <f>'[1]JULIO 2024'!C66</f>
        <v>NERY</v>
      </c>
      <c r="C67" s="82" t="str">
        <f>'[1]JULIO 2024'!D66</f>
        <v>CRUZ</v>
      </c>
      <c r="D67" s="74"/>
      <c r="E67" s="75"/>
      <c r="F67" s="76"/>
      <c r="G67" s="77"/>
      <c r="H67" s="78">
        <v>1</v>
      </c>
      <c r="I67" s="79"/>
      <c r="J67" s="80">
        <v>1</v>
      </c>
      <c r="K67" s="80">
        <v>1</v>
      </c>
      <c r="L67" s="80">
        <v>1</v>
      </c>
      <c r="M67" s="80"/>
      <c r="N67" s="80"/>
    </row>
    <row r="68" spans="1:14">
      <c r="A68" s="74">
        <v>67</v>
      </c>
      <c r="B68" s="74" t="str">
        <f>'[1]JULIO 2024'!C67</f>
        <v>NICOL</v>
      </c>
      <c r="C68" s="82" t="str">
        <f>'[1]JULIO 2024'!D67</f>
        <v>PANTOJA</v>
      </c>
      <c r="D68" s="74"/>
      <c r="E68" s="75"/>
      <c r="F68" s="76"/>
      <c r="G68" s="77">
        <v>1</v>
      </c>
      <c r="H68" s="78"/>
      <c r="I68" s="79"/>
      <c r="J68" s="80">
        <v>1</v>
      </c>
      <c r="K68" s="80">
        <v>1</v>
      </c>
      <c r="L68" s="80">
        <v>1</v>
      </c>
      <c r="M68" s="80"/>
      <c r="N68" s="80"/>
    </row>
    <row r="69" spans="1:14">
      <c r="A69" s="74">
        <v>68</v>
      </c>
      <c r="B69" s="83" t="str">
        <f>'[1]JULIO 2024'!C92</f>
        <v>NUBIA RUTH</v>
      </c>
      <c r="C69" s="84" t="str">
        <f>'[1]JULIO 2024'!D92</f>
        <v>LUGO</v>
      </c>
      <c r="D69" s="74"/>
      <c r="E69" s="75"/>
      <c r="F69" s="76"/>
      <c r="G69" s="77"/>
      <c r="H69" s="78">
        <v>1</v>
      </c>
      <c r="I69" s="79"/>
      <c r="J69" s="80">
        <v>0</v>
      </c>
      <c r="K69" s="80"/>
      <c r="L69" s="80"/>
      <c r="M69" s="80"/>
      <c r="N69" s="80">
        <v>1</v>
      </c>
    </row>
    <row r="70" spans="1:14">
      <c r="A70" s="74">
        <v>69</v>
      </c>
      <c r="B70" s="74" t="str">
        <f>'[1]JULIO 2024'!C69</f>
        <v>ORLANDO</v>
      </c>
      <c r="C70" s="82" t="str">
        <f>'[1]JULIO 2024'!D69</f>
        <v>GILON</v>
      </c>
      <c r="D70" s="74"/>
      <c r="E70" s="75"/>
      <c r="F70" s="76"/>
      <c r="G70" s="77"/>
      <c r="H70" s="78"/>
      <c r="I70" s="79">
        <v>1</v>
      </c>
      <c r="J70" s="80">
        <v>0</v>
      </c>
      <c r="K70" s="80"/>
      <c r="L70" s="80">
        <v>1</v>
      </c>
      <c r="M70" s="80"/>
      <c r="N70" s="80"/>
    </row>
    <row r="71" spans="1:14">
      <c r="A71" s="74">
        <v>70</v>
      </c>
      <c r="B71" s="81" t="s">
        <v>19</v>
      </c>
      <c r="C71" s="82"/>
      <c r="D71" s="74"/>
      <c r="E71" s="75">
        <v>1</v>
      </c>
      <c r="F71" s="76"/>
      <c r="G71" s="77"/>
      <c r="H71" s="78"/>
      <c r="I71" s="79"/>
      <c r="J71" s="80"/>
      <c r="K71" s="80"/>
      <c r="L71" s="80">
        <v>1</v>
      </c>
      <c r="M71" s="80"/>
      <c r="N71" s="80"/>
    </row>
    <row r="72" spans="1:14">
      <c r="A72" s="74">
        <v>71</v>
      </c>
      <c r="B72" s="81" t="str">
        <f>'[1]JULIO 2024'!C72</f>
        <v>SALOME</v>
      </c>
      <c r="C72" s="82" t="str">
        <f>'[1]JULIO 2024'!D72</f>
        <v>GUERRERO</v>
      </c>
      <c r="D72" s="74"/>
      <c r="E72" s="75">
        <v>1</v>
      </c>
      <c r="F72" s="76"/>
      <c r="G72" s="77"/>
      <c r="H72" s="78"/>
      <c r="I72" s="79"/>
      <c r="J72" s="80">
        <v>0</v>
      </c>
      <c r="K72" s="80"/>
      <c r="L72" s="80">
        <v>1</v>
      </c>
      <c r="M72" s="80"/>
      <c r="N72" s="80"/>
    </row>
    <row r="73" spans="1:14">
      <c r="A73" s="74">
        <v>72</v>
      </c>
      <c r="B73" s="83" t="s">
        <v>20</v>
      </c>
      <c r="C73" s="82"/>
      <c r="D73" s="74"/>
      <c r="E73" s="75"/>
      <c r="F73" s="76">
        <v>1</v>
      </c>
      <c r="G73" s="77"/>
      <c r="H73" s="78"/>
      <c r="I73" s="79"/>
      <c r="J73" s="80"/>
      <c r="K73" s="80"/>
      <c r="L73" s="80"/>
      <c r="M73" s="80"/>
      <c r="N73" s="80"/>
    </row>
    <row r="74" spans="1:14">
      <c r="A74" s="74">
        <v>73</v>
      </c>
      <c r="B74" s="81" t="s">
        <v>21</v>
      </c>
      <c r="C74" s="82"/>
      <c r="D74" s="74"/>
      <c r="E74" s="75">
        <v>1</v>
      </c>
      <c r="F74" s="76"/>
      <c r="G74" s="77"/>
      <c r="H74" s="78"/>
      <c r="I74" s="79"/>
      <c r="J74" s="80"/>
      <c r="K74" s="80"/>
      <c r="L74" s="80">
        <v>1</v>
      </c>
      <c r="M74" s="80"/>
      <c r="N74" s="80"/>
    </row>
    <row r="75" spans="1:14">
      <c r="A75" s="74">
        <v>74</v>
      </c>
      <c r="B75" s="81" t="str">
        <f>'[1]JULIO 2024'!C73</f>
        <v>SAMUEL</v>
      </c>
      <c r="C75" s="82" t="str">
        <f>'[1]JULIO 2024'!D73</f>
        <v>SOTO</v>
      </c>
      <c r="D75" s="74"/>
      <c r="E75" s="75"/>
      <c r="F75" s="76">
        <v>1</v>
      </c>
      <c r="G75" s="77"/>
      <c r="H75" s="78"/>
      <c r="I75" s="79"/>
      <c r="J75" s="80">
        <v>1</v>
      </c>
      <c r="K75" s="80"/>
      <c r="L75" s="80">
        <v>1</v>
      </c>
      <c r="M75" s="80"/>
      <c r="N75" s="80"/>
    </row>
    <row r="76" spans="1:14">
      <c r="A76" s="74">
        <v>75</v>
      </c>
      <c r="B76" s="81" t="str">
        <f>'[1]JULIO 2024'!C74</f>
        <v>SARA</v>
      </c>
      <c r="C76" s="82" t="str">
        <f>'[1]JULIO 2024'!D74</f>
        <v>DELGADO</v>
      </c>
      <c r="D76" s="74"/>
      <c r="E76" s="75">
        <v>1</v>
      </c>
      <c r="F76" s="76"/>
      <c r="G76" s="77"/>
      <c r="H76" s="78"/>
      <c r="I76" s="79"/>
      <c r="J76" s="80">
        <v>0</v>
      </c>
      <c r="K76" s="80"/>
      <c r="L76" s="80">
        <v>1</v>
      </c>
      <c r="M76" s="80"/>
      <c r="N76" s="80"/>
    </row>
    <row r="77" spans="1:14">
      <c r="A77" s="74">
        <v>76</v>
      </c>
      <c r="B77" s="74" t="str">
        <f>'[1]JULIO 2024'!C70</f>
        <v>SERGIO AUGUSTO</v>
      </c>
      <c r="C77" s="82" t="str">
        <f>'[1]JULIO 2024'!D70</f>
        <v>DURAN</v>
      </c>
      <c r="D77" s="74"/>
      <c r="E77" s="75"/>
      <c r="F77" s="76"/>
      <c r="G77" s="77"/>
      <c r="H77" s="78"/>
      <c r="I77" s="79">
        <v>1</v>
      </c>
      <c r="J77" s="80">
        <v>0</v>
      </c>
      <c r="K77" s="80"/>
      <c r="L77" s="80"/>
      <c r="M77" s="80"/>
      <c r="N77" s="80">
        <v>1</v>
      </c>
    </row>
    <row r="78" spans="1:14">
      <c r="A78" s="74">
        <v>77</v>
      </c>
      <c r="B78" s="74" t="str">
        <f>'[1]JULIO 2024'!C71</f>
        <v>SHAROL</v>
      </c>
      <c r="C78" s="82" t="str">
        <f>'[1]JULIO 2024'!D71</f>
        <v>OCAMPO</v>
      </c>
      <c r="D78" s="74"/>
      <c r="E78" s="75"/>
      <c r="F78" s="76"/>
      <c r="G78" s="77"/>
      <c r="H78" s="78">
        <v>1</v>
      </c>
      <c r="I78" s="79"/>
      <c r="J78" s="80">
        <v>1</v>
      </c>
      <c r="K78" s="80"/>
      <c r="L78" s="80">
        <v>1</v>
      </c>
      <c r="M78" s="80"/>
      <c r="N78" s="80"/>
    </row>
    <row r="79" spans="1:14">
      <c r="A79" s="74">
        <v>78</v>
      </c>
      <c r="B79" s="74" t="str">
        <f>'[1]JULIO 2024'!C75</f>
        <v>SILVIA</v>
      </c>
      <c r="C79" s="82" t="str">
        <f>'[1]JULIO 2024'!D75</f>
        <v>UTIMA</v>
      </c>
      <c r="D79" s="74"/>
      <c r="E79" s="75"/>
      <c r="F79" s="76"/>
      <c r="G79" s="77"/>
      <c r="H79" s="78">
        <v>1</v>
      </c>
      <c r="I79" s="79"/>
      <c r="J79" s="80">
        <v>1</v>
      </c>
      <c r="K79" s="80">
        <v>1</v>
      </c>
      <c r="L79" s="80">
        <v>1</v>
      </c>
      <c r="M79" s="80"/>
      <c r="N79" s="80"/>
    </row>
    <row r="80" spans="1:14">
      <c r="A80" s="74">
        <v>79</v>
      </c>
      <c r="B80" s="74" t="str">
        <f>'[1]JULIO 2024'!C76</f>
        <v>SOCORRO</v>
      </c>
      <c r="C80" s="82" t="str">
        <f>'[1]JULIO 2024'!D76</f>
        <v>CARVAJAL</v>
      </c>
      <c r="D80" s="74"/>
      <c r="E80" s="75"/>
      <c r="F80" s="76"/>
      <c r="G80" s="77"/>
      <c r="H80" s="78">
        <v>1</v>
      </c>
      <c r="I80" s="79"/>
      <c r="J80" s="80">
        <v>1</v>
      </c>
      <c r="K80" s="80"/>
      <c r="L80" s="80"/>
      <c r="M80" s="80">
        <v>1</v>
      </c>
      <c r="N80" s="80"/>
    </row>
    <row r="81" spans="1:17">
      <c r="A81" s="74">
        <v>80</v>
      </c>
      <c r="B81" s="83" t="str">
        <f>'[1]JULIO 2024'!C77</f>
        <v>TELMA</v>
      </c>
      <c r="C81" s="82" t="str">
        <f>'[1]JULIO 2024'!D77</f>
        <v>CARDENAS</v>
      </c>
      <c r="D81" s="74"/>
      <c r="E81" s="75"/>
      <c r="F81" s="76"/>
      <c r="G81" s="77"/>
      <c r="H81" s="78">
        <v>1</v>
      </c>
      <c r="I81" s="79"/>
      <c r="J81" s="80">
        <v>1</v>
      </c>
      <c r="K81" s="80"/>
      <c r="L81" s="80"/>
      <c r="M81" s="80"/>
      <c r="N81" s="80">
        <v>1</v>
      </c>
    </row>
    <row r="82" spans="1:17">
      <c r="A82" s="74">
        <v>81</v>
      </c>
      <c r="B82" s="81" t="str">
        <f>'[1]JULIO 2024'!C78</f>
        <v>VALENTINA</v>
      </c>
      <c r="C82" s="82" t="str">
        <f>'[1]JULIO 2024'!D78</f>
        <v>CRUZ</v>
      </c>
      <c r="D82" s="74"/>
      <c r="E82" s="75"/>
      <c r="F82" s="76">
        <v>1</v>
      </c>
      <c r="G82" s="77"/>
      <c r="H82" s="78"/>
      <c r="I82" s="79"/>
      <c r="J82" s="80">
        <v>0</v>
      </c>
      <c r="K82" s="80"/>
      <c r="L82" s="80"/>
      <c r="M82" s="80">
        <v>1</v>
      </c>
      <c r="N82" s="80"/>
    </row>
    <row r="83" spans="1:17">
      <c r="A83" s="74">
        <v>82</v>
      </c>
      <c r="B83" s="74" t="str">
        <f>'[1]JULIO 2024'!C79</f>
        <v>VALERY</v>
      </c>
      <c r="C83" s="82" t="str">
        <f>'[1]JULIO 2024'!D79</f>
        <v>RODRIGUEZ</v>
      </c>
      <c r="D83" s="74"/>
      <c r="E83" s="75"/>
      <c r="F83" s="76">
        <v>1</v>
      </c>
      <c r="G83" s="77"/>
      <c r="H83" s="78"/>
      <c r="I83" s="79"/>
      <c r="J83" s="80">
        <v>1</v>
      </c>
      <c r="K83" s="80"/>
      <c r="L83" s="80">
        <v>1</v>
      </c>
      <c r="M83" s="80"/>
      <c r="N83" s="80"/>
    </row>
    <row r="84" spans="1:17">
      <c r="A84" s="74">
        <v>83</v>
      </c>
      <c r="B84" s="74" t="str">
        <f>'[1]JULIO 2024'!C80</f>
        <v>VANNY (GIOVANNY)</v>
      </c>
      <c r="C84" s="82" t="str">
        <f>'[1]JULIO 2024'!D80</f>
        <v>MORENO</v>
      </c>
      <c r="D84" s="74"/>
      <c r="E84" s="75"/>
      <c r="F84" s="76"/>
      <c r="G84" s="77"/>
      <c r="H84" s="78">
        <v>1</v>
      </c>
      <c r="I84" s="79"/>
      <c r="J84" s="80">
        <v>1</v>
      </c>
      <c r="K84" s="80"/>
      <c r="L84" s="80"/>
      <c r="M84" s="80">
        <v>1</v>
      </c>
      <c r="N84" s="80"/>
      <c r="Q84" s="86"/>
    </row>
    <row r="85" spans="1:17">
      <c r="A85" s="74">
        <v>84</v>
      </c>
      <c r="B85" s="74" t="str">
        <f>'[1]JULIO 2024'!C82</f>
        <v>VIVIANA</v>
      </c>
      <c r="C85" s="82" t="str">
        <f>'[1]JULIO 2024'!D82</f>
        <v>MINA</v>
      </c>
      <c r="D85" s="74"/>
      <c r="E85" s="75"/>
      <c r="F85" s="76"/>
      <c r="G85" s="77">
        <v>1</v>
      </c>
      <c r="H85" s="78"/>
      <c r="I85" s="79"/>
      <c r="J85" s="80">
        <v>1</v>
      </c>
      <c r="K85" s="80">
        <v>1</v>
      </c>
      <c r="L85" s="80">
        <v>1</v>
      </c>
      <c r="M85" s="80"/>
      <c r="N85" s="80"/>
    </row>
    <row r="86" spans="1:17">
      <c r="A86" s="74">
        <v>85</v>
      </c>
      <c r="B86" s="81" t="s">
        <v>22</v>
      </c>
      <c r="C86" s="82"/>
      <c r="D86" s="74"/>
      <c r="E86" s="75"/>
      <c r="F86" s="76">
        <v>1</v>
      </c>
      <c r="G86" s="77"/>
      <c r="H86" s="78"/>
      <c r="I86" s="79"/>
      <c r="J86" s="80"/>
      <c r="K86" s="80"/>
      <c r="L86" s="80"/>
      <c r="M86" s="80">
        <v>1</v>
      </c>
      <c r="N86" s="80"/>
    </row>
    <row r="87" spans="1:17">
      <c r="A87" s="74">
        <v>86</v>
      </c>
      <c r="B87" s="74" t="str">
        <f>'[1]JULIO 2024'!C83</f>
        <v>YEIMY  FRANCELLY</v>
      </c>
      <c r="C87" s="82" t="str">
        <f>'[1]JULIO 2024'!D83</f>
        <v>VEGA</v>
      </c>
      <c r="D87" s="74"/>
      <c r="E87" s="75"/>
      <c r="F87" s="76"/>
      <c r="G87" s="77">
        <v>1</v>
      </c>
      <c r="H87" s="78"/>
      <c r="I87" s="79"/>
      <c r="J87" s="80">
        <v>1</v>
      </c>
      <c r="K87" s="80">
        <v>1</v>
      </c>
      <c r="L87" s="80">
        <v>1</v>
      </c>
      <c r="M87" s="80"/>
      <c r="N87" s="80"/>
    </row>
    <row r="88" spans="1:17">
      <c r="A88" s="74">
        <v>87</v>
      </c>
      <c r="B88" s="81" t="s">
        <v>23</v>
      </c>
      <c r="C88" s="82"/>
      <c r="D88" s="74"/>
      <c r="E88" s="75">
        <v>1</v>
      </c>
      <c r="F88" s="76"/>
      <c r="G88" s="77"/>
      <c r="H88" s="78"/>
      <c r="I88" s="79"/>
      <c r="J88" s="80"/>
      <c r="K88" s="80"/>
      <c r="L88" s="80">
        <v>1</v>
      </c>
      <c r="M88" s="80"/>
      <c r="N88" s="80"/>
    </row>
    <row r="89" spans="1:17">
      <c r="A89" s="74">
        <v>88</v>
      </c>
      <c r="B89" s="81" t="str">
        <f>'[1]JULIO 2024'!C86</f>
        <v>YULISSA</v>
      </c>
      <c r="C89" s="82" t="str">
        <f>'[1]JULIO 2024'!D86</f>
        <v>MINA (VIVI)</v>
      </c>
      <c r="D89" s="74"/>
      <c r="E89" s="75"/>
      <c r="F89" s="76">
        <v>1</v>
      </c>
      <c r="G89" s="77"/>
      <c r="H89" s="78"/>
      <c r="I89" s="79"/>
      <c r="J89" s="80">
        <v>0</v>
      </c>
      <c r="K89" s="80"/>
      <c r="L89" s="80"/>
      <c r="M89" s="80">
        <v>1</v>
      </c>
      <c r="N89" s="80"/>
    </row>
    <row r="90" spans="1:17">
      <c r="A90" s="74">
        <v>89</v>
      </c>
      <c r="B90" s="74" t="str">
        <f>'[1]JULIO 2024'!C85</f>
        <v>YULLIMEY</v>
      </c>
      <c r="C90" s="82" t="str">
        <f>'[1]JULIO 2024'!D85</f>
        <v>PRADO</v>
      </c>
      <c r="D90" s="74"/>
      <c r="E90" s="75"/>
      <c r="F90" s="76"/>
      <c r="G90" s="77"/>
      <c r="H90" s="78">
        <v>1</v>
      </c>
      <c r="I90" s="79"/>
      <c r="J90" s="80">
        <v>1</v>
      </c>
      <c r="K90" s="80"/>
      <c r="L90" s="80">
        <v>1</v>
      </c>
      <c r="M90" s="80"/>
      <c r="N90" s="80"/>
    </row>
    <row r="91" spans="1:17" ht="45">
      <c r="A91" s="74"/>
      <c r="B91" s="74"/>
      <c r="C91" s="82"/>
      <c r="D91" s="74" t="s">
        <v>24</v>
      </c>
      <c r="E91" s="64" t="s">
        <v>0</v>
      </c>
      <c r="F91" s="65" t="s">
        <v>1</v>
      </c>
      <c r="G91" s="66" t="s">
        <v>2</v>
      </c>
      <c r="H91" s="67" t="s">
        <v>3</v>
      </c>
      <c r="I91" s="87" t="s">
        <v>4</v>
      </c>
      <c r="J91" s="69" t="s">
        <v>5</v>
      </c>
      <c r="K91" s="70" t="s">
        <v>6</v>
      </c>
      <c r="L91" s="88" t="s">
        <v>25</v>
      </c>
      <c r="M91" s="72" t="s">
        <v>8</v>
      </c>
      <c r="N91" s="89" t="s">
        <v>9</v>
      </c>
    </row>
    <row r="92" spans="1:17">
      <c r="D92" s="74"/>
      <c r="E92" s="75">
        <f t="shared" ref="E92:N92" si="0">SUM(E2:E90)</f>
        <v>11</v>
      </c>
      <c r="F92" s="76">
        <f t="shared" si="0"/>
        <v>12</v>
      </c>
      <c r="G92" s="77">
        <f t="shared" si="0"/>
        <v>10</v>
      </c>
      <c r="H92" s="78">
        <f t="shared" si="0"/>
        <v>35</v>
      </c>
      <c r="I92" s="79">
        <f t="shared" si="0"/>
        <v>21</v>
      </c>
      <c r="J92" s="80">
        <f t="shared" si="0"/>
        <v>58</v>
      </c>
      <c r="K92" s="80">
        <f t="shared" si="0"/>
        <v>24</v>
      </c>
      <c r="L92" s="80">
        <f t="shared" si="0"/>
        <v>52</v>
      </c>
      <c r="M92" s="80">
        <f t="shared" si="0"/>
        <v>24</v>
      </c>
      <c r="N92" s="80">
        <f t="shared" si="0"/>
        <v>13</v>
      </c>
    </row>
    <row r="95" spans="1:17">
      <c r="M95" s="90" t="s">
        <v>26</v>
      </c>
      <c r="N95" s="90">
        <v>89</v>
      </c>
    </row>
    <row r="96" spans="1:17">
      <c r="M96" s="91" t="s">
        <v>27</v>
      </c>
      <c r="N96" s="91">
        <v>24</v>
      </c>
    </row>
  </sheetData>
  <sortState ref="A3:N92">
    <sortCondition ref="B3:B92"/>
  </sortState>
  <conditionalFormatting sqref="L95:M9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7"/>
  <sheetViews>
    <sheetView tabSelected="1" topLeftCell="A82" zoomScale="70" zoomScaleNormal="70" workbookViewId="0">
      <selection activeCell="I100" sqref="I100"/>
    </sheetView>
  </sheetViews>
  <sheetFormatPr baseColWidth="10" defaultColWidth="9.140625" defaultRowHeight="18.75"/>
  <cols>
    <col min="1" max="1" width="9.140625" style="6"/>
    <col min="2" max="2" width="21" style="6" customWidth="1"/>
    <col min="3" max="3" width="17.7109375" style="6" customWidth="1"/>
    <col min="4" max="4" width="12.28515625" style="6" customWidth="1"/>
    <col min="5" max="5" width="9.7109375" style="7" customWidth="1"/>
    <col min="6" max="6" width="13.140625" style="8" customWidth="1"/>
    <col min="7" max="9" width="11.140625" style="8" customWidth="1"/>
    <col min="10" max="14" width="11.140625" style="9" customWidth="1"/>
    <col min="15" max="16384" width="9.140625" style="10"/>
  </cols>
  <sheetData>
    <row r="1" spans="1:14">
      <c r="E1" s="92"/>
      <c r="F1" s="93"/>
      <c r="G1" s="93"/>
      <c r="H1" s="93"/>
      <c r="I1" s="94"/>
    </row>
    <row r="2" spans="1:14" ht="75">
      <c r="D2" s="6" t="s">
        <v>28</v>
      </c>
      <c r="E2" s="11" t="s">
        <v>0</v>
      </c>
      <c r="F2" s="12" t="s">
        <v>1</v>
      </c>
      <c r="G2" s="13" t="s">
        <v>2</v>
      </c>
      <c r="H2" s="14" t="s">
        <v>3</v>
      </c>
      <c r="I2" s="15" t="s">
        <v>4</v>
      </c>
      <c r="J2" s="16" t="s">
        <v>5</v>
      </c>
      <c r="K2" s="17" t="s">
        <v>6</v>
      </c>
      <c r="L2" s="18" t="s">
        <v>7</v>
      </c>
      <c r="M2" s="19" t="s">
        <v>8</v>
      </c>
      <c r="N2" s="20" t="s">
        <v>9</v>
      </c>
    </row>
    <row r="3" spans="1:14">
      <c r="A3" s="21">
        <v>1</v>
      </c>
      <c r="B3" s="21" t="str">
        <f>'[1]JULIO 2024'!C5</f>
        <v>ADIELA</v>
      </c>
      <c r="C3" s="21" t="str">
        <f>'[1]JULIO 2024'!D5</f>
        <v>ALVAREZ</v>
      </c>
      <c r="D3" s="21"/>
      <c r="E3" s="22"/>
      <c r="F3" s="23"/>
      <c r="G3" s="24"/>
      <c r="H3" s="25">
        <v>1</v>
      </c>
      <c r="I3" s="26"/>
      <c r="J3" s="27">
        <v>1</v>
      </c>
      <c r="K3" s="27">
        <v>1</v>
      </c>
      <c r="L3" s="27">
        <v>1</v>
      </c>
      <c r="M3" s="27"/>
      <c r="N3" s="27"/>
    </row>
    <row r="4" spans="1:14" s="1" customFormat="1">
      <c r="A4" s="28">
        <v>2</v>
      </c>
      <c r="B4" s="29" t="s">
        <v>10</v>
      </c>
      <c r="C4" s="30" t="s">
        <v>29</v>
      </c>
      <c r="D4" s="28"/>
      <c r="E4" s="31"/>
      <c r="F4" s="32">
        <v>1</v>
      </c>
      <c r="G4" s="33"/>
      <c r="H4" s="34"/>
      <c r="I4" s="35"/>
      <c r="J4" s="36">
        <v>0</v>
      </c>
      <c r="K4" s="36">
        <v>0</v>
      </c>
      <c r="L4" s="36">
        <v>0</v>
      </c>
      <c r="M4" s="36">
        <v>1</v>
      </c>
      <c r="N4" s="36"/>
    </row>
    <row r="5" spans="1:14">
      <c r="A5" s="21">
        <v>3</v>
      </c>
      <c r="B5" s="21" t="str">
        <f>'[1]JULIO 2024'!C6</f>
        <v>AGRIPINA</v>
      </c>
      <c r="C5" s="37" t="str">
        <f>'[1]JULIO 2024'!D6</f>
        <v>CAICEDO</v>
      </c>
      <c r="D5" s="21"/>
      <c r="E5" s="31"/>
      <c r="F5" s="32"/>
      <c r="G5" s="33"/>
      <c r="H5" s="34">
        <v>1</v>
      </c>
      <c r="I5" s="35"/>
      <c r="J5" s="27">
        <v>1</v>
      </c>
      <c r="K5" s="27">
        <v>0</v>
      </c>
      <c r="L5" s="27">
        <v>1</v>
      </c>
      <c r="M5" s="27"/>
      <c r="N5" s="27"/>
    </row>
    <row r="6" spans="1:14">
      <c r="A6" s="21">
        <v>4</v>
      </c>
      <c r="B6" s="21" t="str">
        <f>'[1]JULIO 2024'!C7</f>
        <v>ALEJANDRO</v>
      </c>
      <c r="C6" s="37" t="str">
        <f>'[1]JULIO 2024'!D7</f>
        <v>DELGADO</v>
      </c>
      <c r="D6" s="21"/>
      <c r="E6" s="31"/>
      <c r="F6" s="32"/>
      <c r="G6" s="33"/>
      <c r="H6" s="34"/>
      <c r="I6" s="35">
        <v>1</v>
      </c>
      <c r="J6" s="27">
        <v>1</v>
      </c>
      <c r="K6" s="27">
        <v>0</v>
      </c>
      <c r="L6" s="27">
        <v>1</v>
      </c>
      <c r="M6" s="27"/>
      <c r="N6" s="27"/>
    </row>
    <row r="7" spans="1:14">
      <c r="A7" s="21">
        <v>5</v>
      </c>
      <c r="B7" s="38" t="s">
        <v>30</v>
      </c>
      <c r="C7" s="37" t="s">
        <v>31</v>
      </c>
      <c r="D7" s="21"/>
      <c r="E7" s="31">
        <v>1</v>
      </c>
      <c r="F7" s="32"/>
      <c r="G7" s="33"/>
      <c r="H7" s="34"/>
      <c r="I7" s="35"/>
      <c r="J7" s="27"/>
      <c r="K7" s="27"/>
      <c r="L7" s="27"/>
      <c r="M7" s="27">
        <v>1</v>
      </c>
      <c r="N7" s="27"/>
    </row>
    <row r="8" spans="1:14" s="1" customFormat="1">
      <c r="A8" s="28">
        <v>6</v>
      </c>
      <c r="B8" s="21" t="s">
        <v>32</v>
      </c>
      <c r="C8" s="37" t="s">
        <v>33</v>
      </c>
      <c r="D8" s="21"/>
      <c r="E8" s="31"/>
      <c r="F8" s="32"/>
      <c r="G8" s="33"/>
      <c r="H8" s="34">
        <v>1</v>
      </c>
      <c r="I8" s="35"/>
      <c r="J8" s="27">
        <v>1</v>
      </c>
      <c r="K8" s="27"/>
      <c r="L8" s="27">
        <v>1</v>
      </c>
      <c r="M8" s="27">
        <v>1</v>
      </c>
      <c r="N8" s="27"/>
    </row>
    <row r="9" spans="1:14">
      <c r="A9" s="21">
        <v>7</v>
      </c>
      <c r="B9" s="21" t="str">
        <f>'[1]JULIO 2024'!C8</f>
        <v>ANA MARIA</v>
      </c>
      <c r="C9" s="37" t="str">
        <f>'[1]JULIO 2024'!D8</f>
        <v>DIAZ</v>
      </c>
      <c r="D9" s="21"/>
      <c r="E9" s="31"/>
      <c r="F9" s="32"/>
      <c r="G9" s="33"/>
      <c r="H9" s="34">
        <v>1</v>
      </c>
      <c r="I9" s="35"/>
      <c r="J9" s="27">
        <v>1</v>
      </c>
      <c r="K9" s="27">
        <v>1</v>
      </c>
      <c r="L9" s="27">
        <v>1</v>
      </c>
      <c r="M9" s="27"/>
      <c r="N9" s="27"/>
    </row>
    <row r="10" spans="1:14" ht="18" customHeight="1">
      <c r="A10" s="28">
        <v>8</v>
      </c>
      <c r="B10" s="28" t="str">
        <f>'[1]JULIO 2024'!C9</f>
        <v>ANGELA</v>
      </c>
      <c r="C10" s="30" t="str">
        <f>'[1]JULIO 2024'!D9</f>
        <v>RIVERA</v>
      </c>
      <c r="D10" s="28"/>
      <c r="E10" s="31"/>
      <c r="F10" s="32"/>
      <c r="G10" s="33"/>
      <c r="H10" s="34">
        <v>1</v>
      </c>
      <c r="I10" s="35"/>
      <c r="J10" s="36">
        <v>0</v>
      </c>
      <c r="K10" s="36">
        <v>0</v>
      </c>
      <c r="L10" s="36">
        <v>1</v>
      </c>
      <c r="M10" s="36"/>
      <c r="N10" s="36"/>
    </row>
    <row r="11" spans="1:14">
      <c r="A11" s="21">
        <v>9</v>
      </c>
      <c r="B11" s="21" t="str">
        <f>'[1]JULIO 2024'!C10</f>
        <v>ARNOBIO ANTONIO</v>
      </c>
      <c r="C11" s="37" t="str">
        <f>'[1]JULIO 2024'!D10</f>
        <v>TABARES</v>
      </c>
      <c r="D11" s="21"/>
      <c r="E11" s="31"/>
      <c r="F11" s="32"/>
      <c r="G11" s="33"/>
      <c r="H11" s="34"/>
      <c r="I11" s="35">
        <v>1</v>
      </c>
      <c r="J11" s="27">
        <v>1</v>
      </c>
      <c r="K11" s="27">
        <v>1</v>
      </c>
      <c r="L11" s="27">
        <v>1</v>
      </c>
      <c r="M11" s="27"/>
      <c r="N11" s="27"/>
    </row>
    <row r="12" spans="1:14" s="1" customFormat="1">
      <c r="A12" s="28">
        <v>10</v>
      </c>
      <c r="B12" s="21" t="str">
        <f>'[1]JULIO 2024'!C11</f>
        <v>AZUCENA</v>
      </c>
      <c r="C12" s="37" t="str">
        <f>'[1]JULIO 2024'!D11</f>
        <v>HERNANDEZ</v>
      </c>
      <c r="D12" s="21"/>
      <c r="E12" s="31"/>
      <c r="F12" s="32"/>
      <c r="G12" s="33"/>
      <c r="H12" s="34">
        <v>1</v>
      </c>
      <c r="I12" s="35"/>
      <c r="J12" s="27">
        <v>1</v>
      </c>
      <c r="K12" s="27">
        <v>1</v>
      </c>
      <c r="L12" s="27">
        <v>1</v>
      </c>
      <c r="M12" s="27"/>
      <c r="N12" s="27"/>
    </row>
    <row r="13" spans="1:14">
      <c r="A13" s="21">
        <v>11</v>
      </c>
      <c r="B13" s="21" t="s">
        <v>34</v>
      </c>
      <c r="C13" s="37" t="s">
        <v>35</v>
      </c>
      <c r="D13" s="21"/>
      <c r="E13" s="31"/>
      <c r="F13" s="32"/>
      <c r="G13" s="33"/>
      <c r="H13" s="34"/>
      <c r="I13" s="35">
        <v>1</v>
      </c>
      <c r="J13" s="27"/>
      <c r="K13" s="27"/>
      <c r="L13" s="27"/>
      <c r="M13" s="27">
        <v>1</v>
      </c>
      <c r="N13" s="27"/>
    </row>
    <row r="14" spans="1:14">
      <c r="A14" s="21">
        <v>12</v>
      </c>
      <c r="B14" s="21" t="str">
        <f>'[1]JULIO 2024'!C51</f>
        <v>CAMILA</v>
      </c>
      <c r="C14" s="37" t="str">
        <f>'[1]JULIO 2024'!D51</f>
        <v>GILON</v>
      </c>
      <c r="D14" s="21"/>
      <c r="E14" s="31"/>
      <c r="F14" s="32"/>
      <c r="G14" s="33"/>
      <c r="H14" s="34">
        <v>1</v>
      </c>
      <c r="I14" s="35"/>
      <c r="J14" s="27">
        <v>1</v>
      </c>
      <c r="K14" s="27">
        <v>1</v>
      </c>
      <c r="L14" s="27">
        <v>1</v>
      </c>
      <c r="M14" s="27"/>
      <c r="N14" s="27"/>
    </row>
    <row r="15" spans="1:14">
      <c r="A15" s="21">
        <v>13</v>
      </c>
      <c r="B15" s="28" t="s">
        <v>36</v>
      </c>
      <c r="C15" s="30" t="s">
        <v>37</v>
      </c>
      <c r="D15" s="28"/>
      <c r="E15" s="31"/>
      <c r="F15" s="32"/>
      <c r="G15" s="33"/>
      <c r="H15" s="34"/>
      <c r="I15" s="35">
        <v>1</v>
      </c>
      <c r="J15" s="36">
        <v>1</v>
      </c>
      <c r="K15" s="36"/>
      <c r="L15" s="36"/>
      <c r="M15" s="36">
        <v>1</v>
      </c>
      <c r="N15" s="36"/>
    </row>
    <row r="16" spans="1:14" s="1" customFormat="1">
      <c r="A16" s="28">
        <v>14</v>
      </c>
      <c r="B16" s="21" t="str">
        <f>'[1]JULIO 2024'!C15</f>
        <v>CARLOS CESAR</v>
      </c>
      <c r="C16" s="37" t="str">
        <f>'[1]JULIO 2024'!D15</f>
        <v>ARBOLEDA</v>
      </c>
      <c r="D16" s="21"/>
      <c r="E16" s="31"/>
      <c r="F16" s="32"/>
      <c r="G16" s="33"/>
      <c r="H16" s="34"/>
      <c r="I16" s="35">
        <v>1</v>
      </c>
      <c r="J16" s="27">
        <v>1</v>
      </c>
      <c r="K16" s="27"/>
      <c r="L16" s="27"/>
      <c r="M16" s="27"/>
      <c r="N16" s="27">
        <v>1</v>
      </c>
    </row>
    <row r="17" spans="1:19">
      <c r="A17" s="21">
        <v>15</v>
      </c>
      <c r="B17" s="21" t="str">
        <f>'[1]JULIO 2024'!C17</f>
        <v>CARMEN ROSA</v>
      </c>
      <c r="C17" s="37" t="str">
        <f>'[1]JULIO 2024'!D17</f>
        <v>ZAMBRANO</v>
      </c>
      <c r="D17" s="21"/>
      <c r="E17" s="31"/>
      <c r="F17" s="32"/>
      <c r="G17" s="33"/>
      <c r="H17" s="34">
        <v>1</v>
      </c>
      <c r="I17" s="35"/>
      <c r="J17" s="27">
        <v>1</v>
      </c>
      <c r="K17" s="27">
        <v>0</v>
      </c>
      <c r="L17" s="27">
        <v>1</v>
      </c>
      <c r="M17" s="27"/>
      <c r="N17" s="27"/>
    </row>
    <row r="18" spans="1:19" s="1" customFormat="1">
      <c r="A18" s="28">
        <v>16</v>
      </c>
      <c r="B18" s="28" t="str">
        <f>'[1]JULIO 2024'!C14</f>
        <v>CAROLINA</v>
      </c>
      <c r="C18" s="30" t="str">
        <f>'[1]JULIO 2024'!D14</f>
        <v>PINZON  (PAJOY)</v>
      </c>
      <c r="D18" s="28"/>
      <c r="E18" s="31"/>
      <c r="F18" s="32"/>
      <c r="G18" s="33">
        <v>1</v>
      </c>
      <c r="H18" s="34"/>
      <c r="I18" s="35"/>
      <c r="J18" s="36">
        <v>0</v>
      </c>
      <c r="K18" s="36">
        <v>0</v>
      </c>
      <c r="L18" s="36"/>
      <c r="M18" s="36">
        <v>1</v>
      </c>
      <c r="N18" s="36"/>
      <c r="S18" s="1">
        <f>86-17</f>
        <v>69</v>
      </c>
    </row>
    <row r="19" spans="1:19">
      <c r="A19" s="21">
        <v>17</v>
      </c>
      <c r="B19" s="21" t="str">
        <f>'[1]JULIO 2024'!C18</f>
        <v>DANIELA</v>
      </c>
      <c r="C19" s="37" t="str">
        <f>'[1]JULIO 2024'!D18</f>
        <v>RAMIREZ</v>
      </c>
      <c r="D19" s="21"/>
      <c r="E19" s="31"/>
      <c r="F19" s="32"/>
      <c r="G19" s="33">
        <v>1</v>
      </c>
      <c r="H19" s="34"/>
      <c r="I19" s="35"/>
      <c r="J19" s="27">
        <v>1</v>
      </c>
      <c r="K19" s="27">
        <v>1</v>
      </c>
      <c r="L19" s="27">
        <v>1</v>
      </c>
      <c r="M19" s="27"/>
      <c r="N19" s="27"/>
    </row>
    <row r="20" spans="1:19" s="1" customFormat="1">
      <c r="A20" s="28">
        <v>18</v>
      </c>
      <c r="B20" s="29" t="s">
        <v>15</v>
      </c>
      <c r="C20" s="30" t="s">
        <v>29</v>
      </c>
      <c r="D20" s="28"/>
      <c r="E20" s="31">
        <v>1</v>
      </c>
      <c r="F20" s="32"/>
      <c r="G20" s="33"/>
      <c r="H20" s="34"/>
      <c r="I20" s="35"/>
      <c r="J20" s="36"/>
      <c r="K20" s="36"/>
      <c r="L20" s="36">
        <v>1</v>
      </c>
      <c r="M20" s="36"/>
      <c r="N20" s="36"/>
    </row>
    <row r="21" spans="1:19" s="2" customFormat="1" ht="15" customHeight="1">
      <c r="A21" s="21">
        <v>19</v>
      </c>
      <c r="B21" s="21" t="str">
        <f>'[1]JULIO 2024'!C21</f>
        <v>DERLY DALLANA</v>
      </c>
      <c r="C21" s="37" t="str">
        <f>'[1]JULIO 2024'!D21</f>
        <v>QUIÑONES</v>
      </c>
      <c r="D21" s="21"/>
      <c r="E21" s="31"/>
      <c r="F21" s="32"/>
      <c r="G21" s="33">
        <v>1</v>
      </c>
      <c r="H21" s="34"/>
      <c r="I21" s="35"/>
      <c r="J21" s="27">
        <v>1</v>
      </c>
      <c r="K21" s="27"/>
      <c r="L21" s="27">
        <v>1</v>
      </c>
      <c r="M21" s="27"/>
      <c r="N21" s="27"/>
    </row>
    <row r="22" spans="1:19">
      <c r="A22" s="21">
        <v>20</v>
      </c>
      <c r="B22" s="28" t="str">
        <f>'[1]JULIO 2024'!C20</f>
        <v>DIDIER</v>
      </c>
      <c r="C22" s="30" t="s">
        <v>38</v>
      </c>
      <c r="D22" s="28"/>
      <c r="E22" s="31"/>
      <c r="F22" s="32"/>
      <c r="G22" s="33"/>
      <c r="H22" s="34"/>
      <c r="I22" s="35">
        <v>1</v>
      </c>
      <c r="J22" s="36">
        <v>0</v>
      </c>
      <c r="K22" s="36">
        <v>0</v>
      </c>
      <c r="L22" s="36"/>
      <c r="M22" s="36">
        <v>1</v>
      </c>
      <c r="N22" s="36"/>
    </row>
    <row r="23" spans="1:19">
      <c r="A23" s="21">
        <v>21</v>
      </c>
      <c r="B23" s="21" t="str">
        <f>'[1]JULIO 2024'!C22</f>
        <v>EDDIE</v>
      </c>
      <c r="C23" s="37" t="str">
        <f>'[1]JULIO 2024'!D22</f>
        <v>LOPEZ</v>
      </c>
      <c r="D23" s="21"/>
      <c r="E23" s="31"/>
      <c r="F23" s="32"/>
      <c r="G23" s="33"/>
      <c r="H23" s="34"/>
      <c r="I23" s="35">
        <v>1</v>
      </c>
      <c r="J23" s="27">
        <v>1</v>
      </c>
      <c r="K23" s="27">
        <v>1</v>
      </c>
      <c r="L23" s="27">
        <v>1</v>
      </c>
      <c r="M23" s="27"/>
      <c r="N23" s="27"/>
    </row>
    <row r="24" spans="1:19" s="1" customFormat="1">
      <c r="A24" s="28">
        <v>22</v>
      </c>
      <c r="B24" s="21" t="str">
        <f>'[1]JULIO 2024'!C24</f>
        <v>ELADIO</v>
      </c>
      <c r="C24" s="37" t="str">
        <f>'[1]JULIO 2024'!D24</f>
        <v>CARABALI</v>
      </c>
      <c r="D24" s="21"/>
      <c r="E24" s="31"/>
      <c r="F24" s="32"/>
      <c r="G24" s="33"/>
      <c r="H24" s="34"/>
      <c r="I24" s="35">
        <v>1</v>
      </c>
      <c r="J24" s="27">
        <v>1</v>
      </c>
      <c r="K24" s="27">
        <v>0</v>
      </c>
      <c r="L24" s="27">
        <v>1</v>
      </c>
      <c r="M24" s="27"/>
      <c r="N24" s="27"/>
    </row>
    <row r="25" spans="1:19" s="1" customFormat="1">
      <c r="A25" s="21">
        <v>23</v>
      </c>
      <c r="B25" s="21" t="str">
        <f>'[1]JULIO 2024'!C25</f>
        <v>ELIECER</v>
      </c>
      <c r="C25" s="37" t="str">
        <f>'[1]JULIO 2024'!D25</f>
        <v>GONZALEZ</v>
      </c>
      <c r="D25" s="21"/>
      <c r="E25" s="31"/>
      <c r="F25" s="32"/>
      <c r="G25" s="33"/>
      <c r="H25" s="34"/>
      <c r="I25" s="35">
        <v>1</v>
      </c>
      <c r="J25" s="27">
        <v>1</v>
      </c>
      <c r="K25" s="27">
        <v>0</v>
      </c>
      <c r="L25" s="27">
        <v>1</v>
      </c>
      <c r="M25" s="27"/>
      <c r="N25" s="27"/>
    </row>
    <row r="26" spans="1:19" s="2" customFormat="1">
      <c r="A26" s="28">
        <v>24</v>
      </c>
      <c r="B26" s="28" t="str">
        <f>'[1]JULIO 2024'!C26</f>
        <v>ELVIA</v>
      </c>
      <c r="C26" s="30" t="str">
        <f>'[1]JULIO 2024'!D26</f>
        <v>LASSO</v>
      </c>
      <c r="D26" s="28"/>
      <c r="E26" s="31"/>
      <c r="F26" s="32"/>
      <c r="G26" s="33"/>
      <c r="H26" s="34">
        <v>1</v>
      </c>
      <c r="I26" s="35"/>
      <c r="J26" s="36">
        <v>1</v>
      </c>
      <c r="K26" s="36"/>
      <c r="L26" s="36">
        <v>1</v>
      </c>
      <c r="M26" s="36"/>
      <c r="N26" s="36"/>
    </row>
    <row r="27" spans="1:19">
      <c r="A27" s="21">
        <v>25</v>
      </c>
      <c r="B27" s="29" t="str">
        <f>'[1]JULIO 2024'!C27</f>
        <v>EMMANUEL</v>
      </c>
      <c r="C27" s="30" t="str">
        <f>'[1]JULIO 2024'!D27</f>
        <v>LOPEZ</v>
      </c>
      <c r="D27" s="28"/>
      <c r="E27" s="31"/>
      <c r="F27" s="32">
        <v>1</v>
      </c>
      <c r="G27" s="33"/>
      <c r="H27" s="34"/>
      <c r="I27" s="35"/>
      <c r="J27" s="36">
        <v>1</v>
      </c>
      <c r="K27" s="36"/>
      <c r="L27" s="36">
        <v>1</v>
      </c>
      <c r="M27" s="36"/>
      <c r="N27" s="36"/>
    </row>
    <row r="28" spans="1:19" s="1" customFormat="1">
      <c r="A28" s="28">
        <v>26</v>
      </c>
      <c r="B28" s="21" t="s">
        <v>39</v>
      </c>
      <c r="C28" s="37" t="s">
        <v>40</v>
      </c>
      <c r="D28" s="21"/>
      <c r="E28" s="31"/>
      <c r="F28" s="32"/>
      <c r="G28" s="33"/>
      <c r="H28" s="34">
        <v>1</v>
      </c>
      <c r="I28" s="35"/>
      <c r="J28" s="27">
        <v>1</v>
      </c>
      <c r="K28" s="27"/>
      <c r="L28" s="27"/>
      <c r="M28" s="27">
        <v>1</v>
      </c>
      <c r="N28" s="27"/>
    </row>
    <row r="29" spans="1:19" s="1" customFormat="1">
      <c r="A29" s="21">
        <v>27</v>
      </c>
      <c r="B29" s="21" t="str">
        <f>'[1]JULIO 2024'!C29</f>
        <v>FABRICIO</v>
      </c>
      <c r="C29" s="37"/>
      <c r="D29" s="21"/>
      <c r="E29" s="31"/>
      <c r="F29" s="32"/>
      <c r="G29" s="33"/>
      <c r="H29" s="34"/>
      <c r="I29" s="35">
        <v>1</v>
      </c>
      <c r="J29" s="27">
        <v>1</v>
      </c>
      <c r="K29" s="27"/>
      <c r="L29" s="27">
        <v>1</v>
      </c>
      <c r="M29" s="27"/>
      <c r="N29" s="27"/>
    </row>
    <row r="30" spans="1:19" s="3" customFormat="1">
      <c r="A30" s="21">
        <v>28</v>
      </c>
      <c r="B30" s="21" t="s">
        <v>41</v>
      </c>
      <c r="C30" s="37"/>
      <c r="D30" s="21"/>
      <c r="E30" s="31"/>
      <c r="F30" s="32"/>
      <c r="G30" s="33">
        <v>1</v>
      </c>
      <c r="H30" s="34"/>
      <c r="I30" s="35"/>
      <c r="J30" s="27"/>
      <c r="K30" s="27"/>
      <c r="L30" s="27"/>
      <c r="M30" s="27">
        <v>1</v>
      </c>
      <c r="N30" s="27"/>
    </row>
    <row r="31" spans="1:19" s="1" customFormat="1">
      <c r="A31" s="21">
        <v>29</v>
      </c>
      <c r="B31" s="21" t="str">
        <f>'[1]JULIO 2024'!C30</f>
        <v>FERNANDO</v>
      </c>
      <c r="C31" s="37" t="str">
        <f>'[1]JULIO 2024'!D30</f>
        <v>VILLARREAL</v>
      </c>
      <c r="D31" s="21"/>
      <c r="E31" s="31"/>
      <c r="F31" s="32"/>
      <c r="G31" s="33"/>
      <c r="H31" s="34"/>
      <c r="I31" s="35">
        <v>1</v>
      </c>
      <c r="J31" s="27">
        <v>1</v>
      </c>
      <c r="K31" s="27"/>
      <c r="L31" s="27">
        <v>1</v>
      </c>
      <c r="M31" s="27"/>
      <c r="N31" s="27"/>
    </row>
    <row r="32" spans="1:19" s="1" customFormat="1">
      <c r="A32" s="28">
        <v>30</v>
      </c>
      <c r="B32" s="28" t="str">
        <f>'[1]JULIO 2024'!C31</f>
        <v>FLOR (MARIA ZALIA)</v>
      </c>
      <c r="C32" s="30" t="str">
        <f>'[1]JULIO 2024'!D31</f>
        <v>MARIN</v>
      </c>
      <c r="D32" s="28"/>
      <c r="E32" s="31"/>
      <c r="F32" s="32"/>
      <c r="G32" s="33"/>
      <c r="H32" s="34">
        <v>1</v>
      </c>
      <c r="I32" s="35"/>
      <c r="J32" s="36">
        <v>1</v>
      </c>
      <c r="K32" s="36">
        <v>1</v>
      </c>
      <c r="L32" s="36">
        <v>1</v>
      </c>
      <c r="M32" s="36"/>
      <c r="N32" s="36"/>
    </row>
    <row r="33" spans="1:14">
      <c r="A33" s="21">
        <v>31</v>
      </c>
      <c r="B33" s="29" t="s">
        <v>16</v>
      </c>
      <c r="C33" s="30"/>
      <c r="D33" s="28"/>
      <c r="E33" s="31">
        <v>1</v>
      </c>
      <c r="F33" s="32"/>
      <c r="G33" s="33"/>
      <c r="H33" s="34"/>
      <c r="I33" s="35"/>
      <c r="J33" s="36"/>
      <c r="K33" s="36"/>
      <c r="L33" s="36">
        <v>1</v>
      </c>
      <c r="M33" s="36"/>
      <c r="N33" s="36"/>
    </row>
    <row r="34" spans="1:14">
      <c r="A34" s="28">
        <v>32</v>
      </c>
      <c r="B34" s="29" t="s">
        <v>17</v>
      </c>
      <c r="C34" s="30"/>
      <c r="D34" s="28"/>
      <c r="E34" s="31">
        <v>1</v>
      </c>
      <c r="F34" s="32"/>
      <c r="G34" s="33"/>
      <c r="H34" s="34"/>
      <c r="I34" s="35"/>
      <c r="J34" s="36"/>
      <c r="K34" s="36"/>
      <c r="L34" s="36">
        <v>1</v>
      </c>
      <c r="M34" s="36"/>
      <c r="N34" s="36"/>
    </row>
    <row r="35" spans="1:14" s="4" customFormat="1">
      <c r="A35" s="21">
        <v>33</v>
      </c>
      <c r="B35" s="29" t="str">
        <f>'[1]JULIO 2024'!C33</f>
        <v>GABRIELA</v>
      </c>
      <c r="C35" s="30" t="str">
        <f>'[1]JULIO 2024'!D33</f>
        <v>GUERRERO</v>
      </c>
      <c r="D35" s="28"/>
      <c r="E35" s="31">
        <v>1</v>
      </c>
      <c r="F35" s="32"/>
      <c r="G35" s="33"/>
      <c r="H35" s="34"/>
      <c r="I35" s="35"/>
      <c r="J35" s="36"/>
      <c r="K35" s="36"/>
      <c r="L35" s="36">
        <v>1</v>
      </c>
      <c r="M35" s="36"/>
      <c r="N35" s="36"/>
    </row>
    <row r="36" spans="1:14" s="1" customFormat="1">
      <c r="A36" s="28">
        <v>34</v>
      </c>
      <c r="B36" s="29" t="s">
        <v>42</v>
      </c>
      <c r="C36" s="30" t="s">
        <v>38</v>
      </c>
      <c r="D36" s="28"/>
      <c r="E36" s="31">
        <v>1</v>
      </c>
      <c r="F36" s="32"/>
      <c r="G36" s="33"/>
      <c r="H36" s="34"/>
      <c r="I36" s="35"/>
      <c r="J36" s="36"/>
      <c r="K36" s="36"/>
      <c r="L36" s="36"/>
      <c r="M36" s="36">
        <v>1</v>
      </c>
      <c r="N36" s="36"/>
    </row>
    <row r="37" spans="1:14">
      <c r="A37" s="21">
        <v>35</v>
      </c>
      <c r="B37" s="21" t="str">
        <f>'[1]JULIO 2024'!C35</f>
        <v>GILMA LILIANA</v>
      </c>
      <c r="C37" s="37" t="str">
        <f>'[1]JULIO 2024'!D35</f>
        <v>ORDOÑES</v>
      </c>
      <c r="D37" s="21"/>
      <c r="E37" s="31"/>
      <c r="F37" s="32"/>
      <c r="G37" s="33"/>
      <c r="H37" s="34">
        <v>1</v>
      </c>
      <c r="I37" s="35"/>
      <c r="J37" s="27">
        <v>1</v>
      </c>
      <c r="K37" s="27">
        <v>1</v>
      </c>
      <c r="L37" s="27">
        <v>1</v>
      </c>
      <c r="M37" s="27"/>
      <c r="N37" s="27"/>
    </row>
    <row r="38" spans="1:14">
      <c r="A38" s="21">
        <v>36</v>
      </c>
      <c r="B38" s="21" t="s">
        <v>43</v>
      </c>
      <c r="C38" s="37" t="s">
        <v>44</v>
      </c>
      <c r="D38" s="21"/>
      <c r="E38" s="31"/>
      <c r="F38" s="32"/>
      <c r="G38" s="33"/>
      <c r="H38" s="34">
        <v>1</v>
      </c>
      <c r="I38" s="35"/>
      <c r="J38" s="27">
        <v>1</v>
      </c>
      <c r="K38" s="27"/>
      <c r="L38" s="27"/>
      <c r="M38" s="27">
        <v>1</v>
      </c>
      <c r="N38" s="27"/>
    </row>
    <row r="39" spans="1:14">
      <c r="A39" s="21">
        <v>37</v>
      </c>
      <c r="B39" s="21" t="str">
        <f>'[1]JULIO 2024'!C37</f>
        <v>GLORIA</v>
      </c>
      <c r="C39" s="37" t="str">
        <f>'[1]JULIO 2024'!D37</f>
        <v>PAJOY</v>
      </c>
      <c r="D39" s="21"/>
      <c r="E39" s="31"/>
      <c r="F39" s="32"/>
      <c r="G39" s="33"/>
      <c r="H39" s="34">
        <v>1</v>
      </c>
      <c r="I39" s="35"/>
      <c r="J39" s="27">
        <v>1</v>
      </c>
      <c r="K39" s="27"/>
      <c r="L39" s="27">
        <v>1</v>
      </c>
      <c r="M39" s="27"/>
      <c r="N39" s="27"/>
    </row>
    <row r="40" spans="1:14" s="1" customFormat="1">
      <c r="A40" s="28">
        <v>38</v>
      </c>
      <c r="B40" s="28" t="str">
        <f>'[1]JULIO 2024'!C39</f>
        <v>GUSTAVO</v>
      </c>
      <c r="C40" s="30" t="str">
        <f>'[1]JULIO 2024'!D39</f>
        <v>ASPRILLA</v>
      </c>
      <c r="D40" s="28"/>
      <c r="E40" s="31"/>
      <c r="F40" s="32"/>
      <c r="G40" s="33"/>
      <c r="H40" s="34"/>
      <c r="I40" s="35">
        <v>1</v>
      </c>
      <c r="J40" s="36"/>
      <c r="K40" s="36"/>
      <c r="L40" s="36"/>
      <c r="M40" s="36">
        <v>1</v>
      </c>
      <c r="N40" s="36"/>
    </row>
    <row r="41" spans="1:14" s="1" customFormat="1">
      <c r="A41" s="21">
        <v>39</v>
      </c>
      <c r="B41" s="21" t="str">
        <f>'[1]JULIO 2024'!C40</f>
        <v>GUSTAVO</v>
      </c>
      <c r="C41" s="37" t="str">
        <f>'[1]JULIO 2024'!D40</f>
        <v>GONZALEZ</v>
      </c>
      <c r="D41" s="21"/>
      <c r="E41" s="31"/>
      <c r="F41" s="32"/>
      <c r="G41" s="33"/>
      <c r="H41" s="34"/>
      <c r="I41" s="35">
        <v>1</v>
      </c>
      <c r="J41" s="27">
        <v>1</v>
      </c>
      <c r="K41" s="27">
        <v>1</v>
      </c>
      <c r="L41" s="27">
        <v>1</v>
      </c>
      <c r="M41" s="27"/>
      <c r="N41" s="27"/>
    </row>
    <row r="42" spans="1:14" s="1" customFormat="1">
      <c r="A42" s="28">
        <v>40</v>
      </c>
      <c r="B42" s="28" t="s">
        <v>45</v>
      </c>
      <c r="C42" s="30"/>
      <c r="D42" s="28"/>
      <c r="E42" s="31"/>
      <c r="F42" s="32"/>
      <c r="G42" s="33"/>
      <c r="H42" s="34"/>
      <c r="I42" s="35">
        <v>1</v>
      </c>
      <c r="J42" s="36"/>
      <c r="K42" s="36"/>
      <c r="L42" s="36"/>
      <c r="M42" s="36">
        <v>1</v>
      </c>
      <c r="N42" s="36"/>
    </row>
    <row r="43" spans="1:14" s="1" customFormat="1">
      <c r="A43" s="21">
        <v>41</v>
      </c>
      <c r="B43" s="21" t="str">
        <f>'[1]JULIO 2024'!C41</f>
        <v>INÉS</v>
      </c>
      <c r="C43" s="37" t="str">
        <f>'[1]JULIO 2024'!D41</f>
        <v>DORONSORO</v>
      </c>
      <c r="D43" s="21"/>
      <c r="E43" s="31"/>
      <c r="F43" s="32"/>
      <c r="G43" s="33"/>
      <c r="H43" s="34">
        <v>1</v>
      </c>
      <c r="I43" s="35"/>
      <c r="J43" s="27">
        <v>1</v>
      </c>
      <c r="K43" s="27"/>
      <c r="L43" s="27"/>
      <c r="M43" s="27"/>
      <c r="N43" s="27">
        <v>1</v>
      </c>
    </row>
    <row r="44" spans="1:14" s="1" customFormat="1">
      <c r="A44" s="28">
        <v>42</v>
      </c>
      <c r="B44" s="28" t="s">
        <v>46</v>
      </c>
      <c r="C44" s="30" t="s">
        <v>47</v>
      </c>
      <c r="D44" s="28"/>
      <c r="E44" s="31"/>
      <c r="F44" s="32"/>
      <c r="G44" s="33"/>
      <c r="H44" s="34">
        <v>1</v>
      </c>
      <c r="I44" s="35"/>
      <c r="J44" s="36">
        <v>1</v>
      </c>
      <c r="K44" s="36"/>
      <c r="L44" s="36"/>
      <c r="M44" s="36">
        <v>1</v>
      </c>
      <c r="N44" s="36"/>
    </row>
    <row r="45" spans="1:14" s="1" customFormat="1">
      <c r="A45" s="21">
        <v>43</v>
      </c>
      <c r="B45" s="28" t="str">
        <f>'[1]JULIO 2024'!C45</f>
        <v>JENNY</v>
      </c>
      <c r="C45" s="30" t="str">
        <f>'[1]JULIO 2024'!D45</f>
        <v>RODRIGUEZ</v>
      </c>
      <c r="D45" s="28"/>
      <c r="E45" s="31"/>
      <c r="F45" s="32"/>
      <c r="G45" s="33"/>
      <c r="H45" s="34">
        <v>1</v>
      </c>
      <c r="I45" s="35"/>
      <c r="J45" s="36">
        <v>1</v>
      </c>
      <c r="K45" s="36">
        <v>1</v>
      </c>
      <c r="L45" s="36">
        <v>1</v>
      </c>
      <c r="M45" s="36"/>
      <c r="N45" s="36"/>
    </row>
    <row r="46" spans="1:14" s="1" customFormat="1">
      <c r="A46" s="21">
        <v>44</v>
      </c>
      <c r="B46" s="28" t="str">
        <f>'[1]JULIO 2024'!C91</f>
        <v>JOSE</v>
      </c>
      <c r="C46" s="30" t="str">
        <f>'[1]JULIO 2024'!D91</f>
        <v>BEDER</v>
      </c>
      <c r="D46" s="28"/>
      <c r="E46" s="31"/>
      <c r="F46" s="32"/>
      <c r="G46" s="33"/>
      <c r="H46" s="34"/>
      <c r="I46" s="35">
        <v>1</v>
      </c>
      <c r="J46" s="36">
        <v>1</v>
      </c>
      <c r="K46" s="36"/>
      <c r="L46" s="36"/>
      <c r="M46" s="36">
        <v>1</v>
      </c>
      <c r="N46" s="36"/>
    </row>
    <row r="47" spans="1:14" s="1" customFormat="1">
      <c r="A47" s="21">
        <v>45</v>
      </c>
      <c r="B47" s="28" t="str">
        <f>'[1]JULIO 2024'!C46</f>
        <v>JOSE LUIS</v>
      </c>
      <c r="C47" s="30" t="str">
        <f>'[1]JULIO 2024'!D46</f>
        <v>GUERRERO</v>
      </c>
      <c r="D47" s="28"/>
      <c r="E47" s="31"/>
      <c r="F47" s="32"/>
      <c r="G47" s="33"/>
      <c r="H47" s="34"/>
      <c r="I47" s="35">
        <v>1</v>
      </c>
      <c r="J47" s="36">
        <v>1</v>
      </c>
      <c r="K47" s="36"/>
      <c r="L47" s="36">
        <v>1</v>
      </c>
      <c r="M47" s="36"/>
      <c r="N47" s="36"/>
    </row>
    <row r="48" spans="1:14" s="1" customFormat="1">
      <c r="A48" s="28">
        <v>46</v>
      </c>
      <c r="B48" s="28" t="s">
        <v>48</v>
      </c>
      <c r="C48" s="30" t="s">
        <v>49</v>
      </c>
      <c r="D48" s="28"/>
      <c r="E48" s="31"/>
      <c r="F48" s="32"/>
      <c r="G48" s="33"/>
      <c r="H48" s="34"/>
      <c r="I48" s="35">
        <v>1</v>
      </c>
      <c r="J48" s="36"/>
      <c r="K48" s="36"/>
      <c r="L48" s="36"/>
      <c r="M48" s="36">
        <v>0</v>
      </c>
      <c r="N48" s="36"/>
    </row>
    <row r="49" spans="1:14" s="1" customFormat="1">
      <c r="A49" s="21">
        <v>47</v>
      </c>
      <c r="B49" s="28" t="str">
        <f>'[1]JULIO 2024'!C48</f>
        <v>KATY</v>
      </c>
      <c r="C49" s="30" t="str">
        <f>'[1]JULIO 2024'!D48</f>
        <v>SERRANO</v>
      </c>
      <c r="D49" s="28"/>
      <c r="E49" s="31"/>
      <c r="F49" s="32"/>
      <c r="G49" s="33"/>
      <c r="H49" s="34">
        <v>1</v>
      </c>
      <c r="I49" s="35"/>
      <c r="J49" s="36">
        <v>1</v>
      </c>
      <c r="K49" s="36">
        <v>1</v>
      </c>
      <c r="L49" s="36">
        <v>1</v>
      </c>
      <c r="M49" s="36"/>
      <c r="N49" s="36"/>
    </row>
    <row r="50" spans="1:14" s="1" customFormat="1">
      <c r="A50" s="28">
        <v>48</v>
      </c>
      <c r="B50" s="38" t="s">
        <v>50</v>
      </c>
      <c r="C50" s="37"/>
      <c r="D50" s="21"/>
      <c r="E50" s="31">
        <v>1</v>
      </c>
      <c r="F50" s="32"/>
      <c r="G50" s="33"/>
      <c r="H50" s="34"/>
      <c r="I50" s="35"/>
      <c r="J50" s="27"/>
      <c r="K50" s="27"/>
      <c r="L50" s="27"/>
      <c r="M50" s="27">
        <v>1</v>
      </c>
      <c r="N50" s="27"/>
    </row>
    <row r="51" spans="1:14" s="1" customFormat="1">
      <c r="A51" s="21">
        <v>49</v>
      </c>
      <c r="B51" s="28" t="str">
        <f>'[1]JULIO 2024'!C52</f>
        <v>LILIANA</v>
      </c>
      <c r="C51" s="30" t="str">
        <f>'[1]JULIO 2024'!D52</f>
        <v>GUERRERO</v>
      </c>
      <c r="D51" s="28"/>
      <c r="E51" s="31"/>
      <c r="F51" s="32"/>
      <c r="G51" s="33"/>
      <c r="H51" s="34">
        <v>1</v>
      </c>
      <c r="I51" s="35"/>
      <c r="J51" s="36">
        <v>1</v>
      </c>
      <c r="K51" s="36">
        <v>1</v>
      </c>
      <c r="L51" s="36">
        <v>1</v>
      </c>
      <c r="M51" s="36"/>
      <c r="N51" s="36"/>
    </row>
    <row r="52" spans="1:14" s="1" customFormat="1">
      <c r="A52" s="28">
        <v>50</v>
      </c>
      <c r="B52" s="21" t="s">
        <v>51</v>
      </c>
      <c r="C52" s="37"/>
      <c r="D52" s="21"/>
      <c r="E52" s="31"/>
      <c r="F52" s="32"/>
      <c r="G52" s="33"/>
      <c r="H52" s="34">
        <v>1</v>
      </c>
      <c r="I52" s="35"/>
      <c r="J52" s="27">
        <v>1</v>
      </c>
      <c r="K52" s="27"/>
      <c r="L52" s="27"/>
      <c r="M52" s="27">
        <v>1</v>
      </c>
      <c r="N52" s="27"/>
    </row>
    <row r="53" spans="1:14" s="1" customFormat="1">
      <c r="A53" s="21">
        <v>51</v>
      </c>
      <c r="B53" s="39" t="s">
        <v>52</v>
      </c>
      <c r="C53" s="40" t="s">
        <v>33</v>
      </c>
      <c r="D53" s="41"/>
      <c r="E53" s="31"/>
      <c r="F53" s="32"/>
      <c r="G53" s="33"/>
      <c r="H53" s="34">
        <v>1</v>
      </c>
      <c r="I53" s="35"/>
      <c r="J53" s="42">
        <v>1</v>
      </c>
      <c r="K53" s="42"/>
      <c r="L53" s="42">
        <v>1</v>
      </c>
      <c r="M53" s="43"/>
      <c r="N53" s="43"/>
    </row>
    <row r="54" spans="1:14" s="1" customFormat="1">
      <c r="A54" s="21">
        <v>52</v>
      </c>
      <c r="B54" s="28" t="str">
        <f>'[1]JULIO 2024'!C56</f>
        <v>LUIS ALBERTO</v>
      </c>
      <c r="C54" s="30" t="str">
        <f>'[1]JULIO 2024'!D56</f>
        <v>GARCÍA</v>
      </c>
      <c r="D54" s="28"/>
      <c r="E54" s="31"/>
      <c r="F54" s="32"/>
      <c r="G54" s="33"/>
      <c r="H54" s="34"/>
      <c r="I54" s="35">
        <v>1</v>
      </c>
      <c r="J54" s="36">
        <v>1</v>
      </c>
      <c r="K54" s="36"/>
      <c r="L54" s="36">
        <v>1</v>
      </c>
      <c r="M54" s="36"/>
      <c r="N54" s="36"/>
    </row>
    <row r="55" spans="1:14" s="1" customFormat="1">
      <c r="A55" s="21">
        <v>53</v>
      </c>
      <c r="B55" s="28" t="str">
        <f>'[1]JULIO 2024'!C57</f>
        <v>LUIS ALBERTO</v>
      </c>
      <c r="C55" s="30" t="str">
        <f>'[1]JULIO 2024'!D57</f>
        <v>RAMIREZ</v>
      </c>
      <c r="D55" s="28"/>
      <c r="E55" s="31"/>
      <c r="F55" s="32"/>
      <c r="G55" s="33"/>
      <c r="H55" s="34"/>
      <c r="I55" s="35">
        <v>1</v>
      </c>
      <c r="J55" s="36">
        <v>1</v>
      </c>
      <c r="K55" s="36"/>
      <c r="L55" s="36"/>
      <c r="M55" s="36">
        <v>1</v>
      </c>
      <c r="N55" s="36"/>
    </row>
    <row r="56" spans="1:14" s="1" customFormat="1">
      <c r="A56" s="28">
        <v>54</v>
      </c>
      <c r="B56" s="28" t="str">
        <f>'[1]JULIO 2024'!C58</f>
        <v>LUIS DAVID</v>
      </c>
      <c r="C56" s="30" t="str">
        <f>'[1]JULIO 2024'!D58</f>
        <v>MILLAN</v>
      </c>
      <c r="D56" s="28"/>
      <c r="E56" s="31"/>
      <c r="F56" s="32"/>
      <c r="G56" s="33"/>
      <c r="H56" s="34"/>
      <c r="I56" s="35">
        <v>1</v>
      </c>
      <c r="J56" s="36">
        <v>1</v>
      </c>
      <c r="K56" s="36">
        <v>1</v>
      </c>
      <c r="L56" s="36">
        <v>1</v>
      </c>
      <c r="M56" s="36"/>
      <c r="N56" s="36"/>
    </row>
    <row r="57" spans="1:14" s="1" customFormat="1">
      <c r="A57" s="21">
        <v>55</v>
      </c>
      <c r="B57" s="28" t="str">
        <f>'[1]JULIO 2024'!C59</f>
        <v>MARCELA</v>
      </c>
      <c r="C57" s="30" t="str">
        <f>'[1]JULIO 2024'!D59</f>
        <v>MARIN OCAMPO</v>
      </c>
      <c r="D57" s="28"/>
      <c r="E57" s="31"/>
      <c r="F57" s="32"/>
      <c r="G57" s="33"/>
      <c r="H57" s="34">
        <v>1</v>
      </c>
      <c r="I57" s="35"/>
      <c r="J57" s="36">
        <v>1</v>
      </c>
      <c r="K57" s="36"/>
      <c r="L57" s="36">
        <v>1</v>
      </c>
      <c r="M57" s="36"/>
      <c r="N57" s="36"/>
    </row>
    <row r="58" spans="1:14" s="1" customFormat="1">
      <c r="A58" s="28">
        <v>56</v>
      </c>
      <c r="B58" s="28" t="str">
        <f>'[1]JULIO 2024'!C60</f>
        <v>MARIA</v>
      </c>
      <c r="C58" s="30" t="str">
        <f>'[1]JULIO 2024'!D60</f>
        <v>GLENNIS</v>
      </c>
      <c r="D58" s="28"/>
      <c r="E58" s="31"/>
      <c r="F58" s="32"/>
      <c r="G58" s="33"/>
      <c r="H58" s="34">
        <v>1</v>
      </c>
      <c r="I58" s="35"/>
      <c r="J58" s="36">
        <v>1</v>
      </c>
      <c r="K58" s="36"/>
      <c r="L58" s="36">
        <v>1</v>
      </c>
      <c r="M58" s="36"/>
      <c r="N58" s="36"/>
    </row>
    <row r="59" spans="1:14" s="1" customFormat="1">
      <c r="A59" s="21">
        <v>57</v>
      </c>
      <c r="B59" s="28" t="str">
        <f>'[1]JULIO 2024'!C61</f>
        <v>MARIA (ZITA)</v>
      </c>
      <c r="C59" s="30" t="str">
        <f>'[1]JULIO 2024'!D61</f>
        <v>RAMIREZ</v>
      </c>
      <c r="D59" s="28"/>
      <c r="E59" s="31"/>
      <c r="F59" s="32"/>
      <c r="G59" s="33"/>
      <c r="H59" s="34">
        <v>1</v>
      </c>
      <c r="I59" s="35"/>
      <c r="J59" s="36">
        <v>1</v>
      </c>
      <c r="K59" s="36">
        <v>1</v>
      </c>
      <c r="L59" s="36">
        <v>1</v>
      </c>
      <c r="M59" s="36"/>
      <c r="N59" s="36"/>
    </row>
    <row r="60" spans="1:14" s="1" customFormat="1">
      <c r="A60" s="28">
        <v>58</v>
      </c>
      <c r="B60" s="21" t="s">
        <v>53</v>
      </c>
      <c r="C60" s="37" t="s">
        <v>54</v>
      </c>
      <c r="D60" s="21"/>
      <c r="E60" s="31"/>
      <c r="F60" s="32"/>
      <c r="G60" s="33"/>
      <c r="H60" s="34">
        <v>1</v>
      </c>
      <c r="I60" s="35"/>
      <c r="J60" s="27"/>
      <c r="K60" s="27"/>
      <c r="L60" s="27"/>
      <c r="M60" s="27">
        <v>1</v>
      </c>
      <c r="N60" s="27"/>
    </row>
    <row r="61" spans="1:14" s="1" customFormat="1">
      <c r="A61" s="21">
        <v>59</v>
      </c>
      <c r="B61" s="28" t="str">
        <f>'[1]JULIO 2024'!C63</f>
        <v>MARLENE</v>
      </c>
      <c r="C61" s="30" t="str">
        <f>'[1]JULIO 2024'!D63</f>
        <v>GARCIA</v>
      </c>
      <c r="D61" s="28"/>
      <c r="E61" s="31"/>
      <c r="F61" s="32"/>
      <c r="G61" s="33"/>
      <c r="H61" s="34">
        <v>1</v>
      </c>
      <c r="I61" s="35"/>
      <c r="J61" s="36">
        <v>1</v>
      </c>
      <c r="K61" s="36">
        <v>1</v>
      </c>
      <c r="L61" s="36">
        <v>1</v>
      </c>
      <c r="M61" s="36"/>
      <c r="N61" s="36"/>
    </row>
    <row r="62" spans="1:14" s="1" customFormat="1">
      <c r="A62" s="21">
        <v>60</v>
      </c>
      <c r="B62" s="28" t="str">
        <f>'[1]JULIO 2024'!C64</f>
        <v>MARLENY</v>
      </c>
      <c r="C62" s="30" t="str">
        <f>'[1]JULIO 2024'!D64</f>
        <v>VERGARA</v>
      </c>
      <c r="D62" s="28"/>
      <c r="E62" s="31"/>
      <c r="F62" s="32"/>
      <c r="G62" s="33"/>
      <c r="H62" s="34">
        <v>1</v>
      </c>
      <c r="I62" s="35"/>
      <c r="J62" s="36">
        <v>1</v>
      </c>
      <c r="K62" s="36">
        <v>1</v>
      </c>
      <c r="L62" s="36">
        <v>1</v>
      </c>
      <c r="M62" s="36"/>
      <c r="N62" s="36"/>
    </row>
    <row r="63" spans="1:14" s="1" customFormat="1">
      <c r="A63" s="21">
        <v>61</v>
      </c>
      <c r="B63" s="21" t="s">
        <v>55</v>
      </c>
      <c r="C63" s="37"/>
      <c r="D63" s="21"/>
      <c r="E63" s="31"/>
      <c r="F63" s="32"/>
      <c r="G63" s="33"/>
      <c r="H63" s="34"/>
      <c r="I63" s="35">
        <v>1</v>
      </c>
      <c r="J63" s="27">
        <v>1</v>
      </c>
      <c r="K63" s="27">
        <v>1</v>
      </c>
      <c r="L63" s="27">
        <v>1</v>
      </c>
      <c r="M63" s="27"/>
      <c r="N63" s="27"/>
    </row>
    <row r="64" spans="1:14" s="1" customFormat="1">
      <c r="A64" s="28">
        <v>62</v>
      </c>
      <c r="B64" s="28" t="str">
        <f>'[1]JULIO 2024'!C65</f>
        <v>NATALIA</v>
      </c>
      <c r="C64" s="30" t="str">
        <f>'[1]JULIO 2024'!D65</f>
        <v>SANCHEZ</v>
      </c>
      <c r="D64" s="28"/>
      <c r="E64" s="31"/>
      <c r="F64" s="32"/>
      <c r="G64" s="33">
        <v>1</v>
      </c>
      <c r="H64" s="34"/>
      <c r="I64" s="35"/>
      <c r="J64" s="36"/>
      <c r="K64" s="36"/>
      <c r="L64" s="36"/>
      <c r="M64" s="36">
        <v>1</v>
      </c>
      <c r="N64" s="36"/>
    </row>
    <row r="65" spans="1:17" s="1" customFormat="1">
      <c r="A65" s="21">
        <v>63</v>
      </c>
      <c r="B65" s="28" t="str">
        <f>'[1]JULIO 2024'!C66</f>
        <v>NERY</v>
      </c>
      <c r="C65" s="30" t="str">
        <f>'[1]JULIO 2024'!D66</f>
        <v>CRUZ</v>
      </c>
      <c r="D65" s="28"/>
      <c r="E65" s="31"/>
      <c r="F65" s="32"/>
      <c r="G65" s="33"/>
      <c r="H65" s="34">
        <v>1</v>
      </c>
      <c r="I65" s="35"/>
      <c r="J65" s="36">
        <v>1</v>
      </c>
      <c r="K65" s="36">
        <v>1</v>
      </c>
      <c r="L65" s="36">
        <v>1</v>
      </c>
      <c r="M65" s="36"/>
      <c r="N65" s="36"/>
    </row>
    <row r="66" spans="1:17">
      <c r="A66" s="28">
        <v>64</v>
      </c>
      <c r="B66" s="28" t="str">
        <f>'[1]JULIO 2024'!C67</f>
        <v>NICOL</v>
      </c>
      <c r="C66" s="30" t="str">
        <f>'[1]JULIO 2024'!D67</f>
        <v>PANTOJA</v>
      </c>
      <c r="D66" s="28"/>
      <c r="E66" s="31"/>
      <c r="F66" s="32"/>
      <c r="G66" s="33">
        <v>1</v>
      </c>
      <c r="H66" s="34"/>
      <c r="I66" s="35"/>
      <c r="J66" s="36">
        <v>1</v>
      </c>
      <c r="K66" s="36">
        <v>1</v>
      </c>
      <c r="L66" s="36">
        <v>1</v>
      </c>
      <c r="M66" s="36"/>
      <c r="N66" s="36"/>
    </row>
    <row r="67" spans="1:17">
      <c r="A67" s="21">
        <v>65</v>
      </c>
      <c r="B67" s="21" t="s">
        <v>56</v>
      </c>
      <c r="C67" s="37" t="s">
        <v>57</v>
      </c>
      <c r="D67" s="21"/>
      <c r="E67" s="31"/>
      <c r="F67" s="32"/>
      <c r="G67" s="33"/>
      <c r="H67" s="34">
        <v>1</v>
      </c>
      <c r="I67" s="35"/>
      <c r="J67" s="27">
        <v>1</v>
      </c>
      <c r="K67" s="27">
        <v>1</v>
      </c>
      <c r="L67" s="27">
        <v>1</v>
      </c>
      <c r="M67" s="27"/>
      <c r="N67" s="27"/>
    </row>
    <row r="68" spans="1:17" s="1" customFormat="1">
      <c r="A68" s="28">
        <v>66</v>
      </c>
      <c r="B68" s="21" t="s">
        <v>58</v>
      </c>
      <c r="C68" s="37" t="s">
        <v>59</v>
      </c>
      <c r="D68" s="21"/>
      <c r="E68" s="31"/>
      <c r="F68" s="32"/>
      <c r="G68" s="33"/>
      <c r="H68" s="34"/>
      <c r="I68" s="35">
        <v>1</v>
      </c>
      <c r="J68" s="27">
        <v>1</v>
      </c>
      <c r="K68" s="27"/>
      <c r="L68" s="27"/>
      <c r="M68" s="27">
        <v>1</v>
      </c>
      <c r="N68" s="27"/>
    </row>
    <row r="69" spans="1:17">
      <c r="A69" s="21">
        <v>67</v>
      </c>
      <c r="B69" s="28" t="str">
        <f>'[1]JULIO 2024'!C69</f>
        <v>ORLANDO</v>
      </c>
      <c r="C69" s="30" t="str">
        <f>'[1]JULIO 2024'!D69</f>
        <v>GILON</v>
      </c>
      <c r="D69" s="28"/>
      <c r="E69" s="31"/>
      <c r="F69" s="32"/>
      <c r="G69" s="33"/>
      <c r="H69" s="34"/>
      <c r="I69" s="35">
        <v>1</v>
      </c>
      <c r="J69" s="36">
        <v>1</v>
      </c>
      <c r="K69" s="36">
        <v>1</v>
      </c>
      <c r="L69" s="36">
        <v>1</v>
      </c>
      <c r="M69" s="36"/>
      <c r="N69" s="36"/>
    </row>
    <row r="70" spans="1:17" ht="15" customHeight="1">
      <c r="A70" s="21">
        <v>68</v>
      </c>
      <c r="B70" s="29" t="s">
        <v>19</v>
      </c>
      <c r="C70" s="30"/>
      <c r="D70" s="28"/>
      <c r="E70" s="31">
        <v>1</v>
      </c>
      <c r="F70" s="32"/>
      <c r="G70" s="33"/>
      <c r="H70" s="34"/>
      <c r="I70" s="35"/>
      <c r="J70" s="36"/>
      <c r="K70" s="36"/>
      <c r="L70" s="36"/>
      <c r="M70" s="36">
        <v>1</v>
      </c>
      <c r="N70" s="36"/>
    </row>
    <row r="71" spans="1:17">
      <c r="A71" s="21">
        <v>69</v>
      </c>
      <c r="B71" s="28" t="s">
        <v>60</v>
      </c>
      <c r="C71" s="30" t="s">
        <v>59</v>
      </c>
      <c r="D71" s="28"/>
      <c r="E71" s="31"/>
      <c r="F71" s="32"/>
      <c r="G71" s="33"/>
      <c r="H71" s="34">
        <v>1</v>
      </c>
      <c r="I71" s="35"/>
      <c r="J71" s="36">
        <v>1</v>
      </c>
      <c r="K71" s="36"/>
      <c r="L71" s="36"/>
      <c r="M71" s="36">
        <v>1</v>
      </c>
      <c r="N71" s="36"/>
    </row>
    <row r="72" spans="1:17" s="1" customFormat="1">
      <c r="A72" s="28">
        <v>70</v>
      </c>
      <c r="B72" s="29" t="str">
        <f>'[1]JULIO 2024'!C72</f>
        <v>SALOME</v>
      </c>
      <c r="C72" s="30" t="str">
        <f>'[1]JULIO 2024'!D72</f>
        <v>GUERRERO</v>
      </c>
      <c r="D72" s="28"/>
      <c r="E72" s="31">
        <v>1</v>
      </c>
      <c r="F72" s="32"/>
      <c r="G72" s="33"/>
      <c r="H72" s="34"/>
      <c r="I72" s="35"/>
      <c r="J72" s="36"/>
      <c r="K72" s="36"/>
      <c r="L72" s="36">
        <v>1</v>
      </c>
      <c r="M72" s="36"/>
      <c r="N72" s="36"/>
    </row>
    <row r="73" spans="1:17">
      <c r="A73" s="21">
        <v>71</v>
      </c>
      <c r="B73" s="29" t="s">
        <v>21</v>
      </c>
      <c r="C73" s="30" t="s">
        <v>61</v>
      </c>
      <c r="D73" s="28"/>
      <c r="E73" s="31">
        <v>1</v>
      </c>
      <c r="F73" s="32"/>
      <c r="G73" s="33"/>
      <c r="H73" s="34"/>
      <c r="I73" s="35"/>
      <c r="J73" s="36"/>
      <c r="K73" s="36"/>
      <c r="L73" s="36">
        <v>1</v>
      </c>
      <c r="M73" s="36"/>
      <c r="N73" s="36"/>
      <c r="Q73" s="44"/>
    </row>
    <row r="74" spans="1:17">
      <c r="A74" s="28">
        <v>72</v>
      </c>
      <c r="B74" s="29" t="str">
        <f>'[1]JULIO 2024'!C74</f>
        <v>SARA</v>
      </c>
      <c r="C74" s="30" t="str">
        <f>'[1]JULIO 2024'!D74</f>
        <v>DELGADO</v>
      </c>
      <c r="D74" s="28"/>
      <c r="E74" s="31">
        <v>1</v>
      </c>
      <c r="F74" s="32"/>
      <c r="G74" s="33"/>
      <c r="H74" s="34"/>
      <c r="I74" s="35"/>
      <c r="J74" s="36">
        <v>0</v>
      </c>
      <c r="K74" s="36"/>
      <c r="L74" s="36">
        <v>1</v>
      </c>
      <c r="M74" s="36"/>
      <c r="N74" s="36"/>
    </row>
    <row r="75" spans="1:17">
      <c r="A75" s="21">
        <v>73</v>
      </c>
      <c r="B75" s="21" t="str">
        <f>'[1]JULIO 2024'!C71</f>
        <v>SHAROL</v>
      </c>
      <c r="C75" s="37" t="str">
        <f>'[1]JULIO 2024'!D71</f>
        <v>OCAMPO</v>
      </c>
      <c r="D75" s="21"/>
      <c r="E75" s="31"/>
      <c r="F75" s="32"/>
      <c r="G75" s="33"/>
      <c r="H75" s="34">
        <v>1</v>
      </c>
      <c r="I75" s="35"/>
      <c r="J75" s="27">
        <v>1</v>
      </c>
      <c r="K75" s="27"/>
      <c r="L75" s="27"/>
      <c r="M75" s="27">
        <v>1</v>
      </c>
      <c r="N75" s="27"/>
    </row>
    <row r="76" spans="1:17" s="1" customFormat="1">
      <c r="A76" s="28">
        <v>74</v>
      </c>
      <c r="B76" s="21" t="str">
        <f>'[1]JULIO 2024'!C75</f>
        <v>SILVIA</v>
      </c>
      <c r="C76" s="37" t="str">
        <f>'[1]JULIO 2024'!D75</f>
        <v>UTIMA</v>
      </c>
      <c r="D76" s="21"/>
      <c r="E76" s="31"/>
      <c r="F76" s="32"/>
      <c r="G76" s="33"/>
      <c r="H76" s="34">
        <v>1</v>
      </c>
      <c r="I76" s="35"/>
      <c r="J76" s="27">
        <v>1</v>
      </c>
      <c r="K76" s="27">
        <v>1</v>
      </c>
      <c r="L76" s="27">
        <v>1</v>
      </c>
      <c r="M76" s="27"/>
      <c r="N76" s="27"/>
    </row>
    <row r="77" spans="1:17" s="1" customFormat="1">
      <c r="A77" s="21">
        <v>75</v>
      </c>
      <c r="B77" s="21" t="str">
        <f>'[1]JULIO 2024'!C76</f>
        <v>SOCORRO</v>
      </c>
      <c r="C77" s="37" t="str">
        <f>'[1]JULIO 2024'!D76</f>
        <v>CARVAJAL</v>
      </c>
      <c r="D77" s="21"/>
      <c r="E77" s="31"/>
      <c r="F77" s="32"/>
      <c r="G77" s="33"/>
      <c r="H77" s="34">
        <v>1</v>
      </c>
      <c r="I77" s="35"/>
      <c r="J77" s="27">
        <v>1</v>
      </c>
      <c r="K77" s="27"/>
      <c r="L77" s="27"/>
      <c r="M77" s="27"/>
      <c r="N77" s="27">
        <v>1</v>
      </c>
    </row>
    <row r="78" spans="1:17">
      <c r="A78" s="21">
        <v>76</v>
      </c>
      <c r="B78" s="21" t="s">
        <v>62</v>
      </c>
      <c r="C78" s="37"/>
      <c r="D78" s="21"/>
      <c r="E78" s="31"/>
      <c r="F78" s="32"/>
      <c r="G78" s="33">
        <v>1</v>
      </c>
      <c r="H78" s="34"/>
      <c r="I78" s="35"/>
      <c r="J78" s="27"/>
      <c r="K78" s="27"/>
      <c r="L78" s="27"/>
      <c r="M78" s="27">
        <v>1</v>
      </c>
      <c r="N78" s="27"/>
    </row>
    <row r="79" spans="1:17">
      <c r="A79" s="21">
        <v>77</v>
      </c>
      <c r="B79" s="28" t="str">
        <f>'[1]JULIO 2024'!C79</f>
        <v>VALERY</v>
      </c>
      <c r="C79" s="30" t="str">
        <f>'[1]JULIO 2024'!D79</f>
        <v>RODRIGUEZ</v>
      </c>
      <c r="D79" s="28"/>
      <c r="E79" s="31"/>
      <c r="F79" s="32"/>
      <c r="G79" s="33">
        <v>1</v>
      </c>
      <c r="H79" s="34"/>
      <c r="I79" s="35"/>
      <c r="J79" s="36">
        <v>1</v>
      </c>
      <c r="K79" s="36"/>
      <c r="L79" s="36"/>
      <c r="M79" s="36">
        <v>1</v>
      </c>
      <c r="N79" s="36"/>
    </row>
    <row r="80" spans="1:17">
      <c r="A80" s="28">
        <v>78</v>
      </c>
      <c r="B80" s="21" t="str">
        <f>'[1]JULIO 2024'!C80</f>
        <v>VANNY (GIOVANNY)</v>
      </c>
      <c r="C80" s="37" t="str">
        <f>'[1]JULIO 2024'!D80</f>
        <v>MORENO</v>
      </c>
      <c r="D80" s="21"/>
      <c r="E80" s="31"/>
      <c r="F80" s="32"/>
      <c r="G80" s="33"/>
      <c r="H80" s="34">
        <v>1</v>
      </c>
      <c r="I80" s="35"/>
      <c r="J80" s="27">
        <v>1</v>
      </c>
      <c r="K80" s="27">
        <v>1</v>
      </c>
      <c r="L80" s="27">
        <v>1</v>
      </c>
      <c r="M80" s="27"/>
      <c r="N80" s="27"/>
    </row>
    <row r="81" spans="1:14">
      <c r="A81" s="21">
        <v>79</v>
      </c>
      <c r="B81" s="45" t="str">
        <f>'[1]JULIO 2024'!C82</f>
        <v>VIVIANA</v>
      </c>
      <c r="C81" s="46" t="str">
        <f>'[1]JULIO 2024'!D82</f>
        <v>MINA</v>
      </c>
      <c r="D81" s="21"/>
      <c r="E81" s="31"/>
      <c r="F81" s="32"/>
      <c r="G81" s="33">
        <v>1</v>
      </c>
      <c r="H81" s="34"/>
      <c r="I81" s="35"/>
      <c r="J81" s="27">
        <v>1</v>
      </c>
      <c r="K81" s="27"/>
      <c r="L81" s="27"/>
      <c r="M81" s="27">
        <v>1</v>
      </c>
      <c r="N81" s="27"/>
    </row>
    <row r="82" spans="1:14">
      <c r="A82" s="28">
        <v>80</v>
      </c>
      <c r="B82" s="38" t="s">
        <v>22</v>
      </c>
      <c r="C82" s="21" t="s">
        <v>63</v>
      </c>
      <c r="D82" s="21"/>
      <c r="E82" s="31"/>
      <c r="F82" s="32"/>
      <c r="G82" s="33">
        <v>1</v>
      </c>
      <c r="H82" s="34"/>
      <c r="I82" s="35"/>
      <c r="J82" s="27"/>
      <c r="K82" s="27"/>
      <c r="L82" s="27"/>
      <c r="M82" s="27">
        <v>1</v>
      </c>
      <c r="N82" s="27"/>
    </row>
    <row r="83" spans="1:14">
      <c r="A83" s="21">
        <v>81</v>
      </c>
      <c r="B83" s="28" t="str">
        <f>'[1]JULIO 2024'!C83</f>
        <v>YEIMY  FRANCELLY</v>
      </c>
      <c r="C83" s="28" t="str">
        <f>'[1]JULIO 2024'!D83</f>
        <v>VEGA</v>
      </c>
      <c r="D83" s="28"/>
      <c r="E83" s="31"/>
      <c r="F83" s="32"/>
      <c r="G83" s="33"/>
      <c r="H83" s="34">
        <v>1</v>
      </c>
      <c r="I83" s="35"/>
      <c r="J83" s="36">
        <v>1</v>
      </c>
      <c r="K83" s="36">
        <v>1</v>
      </c>
      <c r="L83" s="36">
        <v>1</v>
      </c>
      <c r="M83" s="36"/>
      <c r="N83" s="36"/>
    </row>
    <row r="84" spans="1:14">
      <c r="A84" s="28">
        <v>82</v>
      </c>
      <c r="B84" s="29" t="s">
        <v>23</v>
      </c>
      <c r="C84" s="28"/>
      <c r="D84" s="28"/>
      <c r="E84" s="31">
        <v>1</v>
      </c>
      <c r="F84" s="32"/>
      <c r="G84" s="33"/>
      <c r="H84" s="34"/>
      <c r="I84" s="35"/>
      <c r="J84" s="36"/>
      <c r="K84" s="36"/>
      <c r="L84" s="36">
        <v>1</v>
      </c>
      <c r="M84" s="36"/>
      <c r="N84" s="36"/>
    </row>
    <row r="85" spans="1:14">
      <c r="A85" s="21">
        <v>83</v>
      </c>
      <c r="B85" s="28" t="s">
        <v>64</v>
      </c>
      <c r="C85" s="28" t="s">
        <v>65</v>
      </c>
      <c r="D85" s="28"/>
      <c r="E85" s="31"/>
      <c r="F85" s="32"/>
      <c r="G85" s="33"/>
      <c r="H85" s="34">
        <v>1</v>
      </c>
      <c r="I85" s="35"/>
      <c r="J85" s="36">
        <v>1</v>
      </c>
      <c r="K85" s="36">
        <v>0</v>
      </c>
      <c r="L85" s="36"/>
      <c r="M85" s="36">
        <v>1</v>
      </c>
      <c r="N85" s="36"/>
    </row>
    <row r="86" spans="1:14">
      <c r="A86" s="21">
        <v>84</v>
      </c>
      <c r="B86" s="28" t="s">
        <v>66</v>
      </c>
      <c r="C86" s="28" t="s">
        <v>67</v>
      </c>
      <c r="D86" s="28"/>
      <c r="E86" s="31"/>
      <c r="F86" s="32">
        <v>1</v>
      </c>
      <c r="G86" s="33"/>
      <c r="H86" s="34"/>
      <c r="I86" s="35"/>
      <c r="J86" s="36"/>
      <c r="K86" s="36"/>
      <c r="L86" s="36"/>
      <c r="M86" s="36">
        <v>1</v>
      </c>
      <c r="N86" s="36"/>
    </row>
    <row r="87" spans="1:14">
      <c r="A87" s="21">
        <v>85</v>
      </c>
      <c r="B87" s="21" t="str">
        <f>'[1]JULIO 2024'!C85</f>
        <v>YULLIMEY</v>
      </c>
      <c r="C87" s="21" t="s">
        <v>68</v>
      </c>
      <c r="D87" s="21"/>
      <c r="E87" s="31"/>
      <c r="F87" s="32"/>
      <c r="G87" s="33"/>
      <c r="H87" s="34">
        <v>1</v>
      </c>
      <c r="I87" s="35"/>
      <c r="J87" s="27">
        <v>1</v>
      </c>
      <c r="K87" s="27"/>
      <c r="L87" s="27">
        <v>1</v>
      </c>
      <c r="M87" s="27"/>
      <c r="N87" s="27"/>
    </row>
    <row r="88" spans="1:14">
      <c r="A88" s="21">
        <v>86</v>
      </c>
      <c r="B88" s="21" t="s">
        <v>20</v>
      </c>
      <c r="C88" s="21"/>
      <c r="D88" s="21"/>
      <c r="E88" s="31"/>
      <c r="F88" s="32">
        <v>1</v>
      </c>
      <c r="G88" s="33"/>
      <c r="H88" s="34"/>
      <c r="I88" s="35"/>
      <c r="J88" s="27"/>
      <c r="K88" s="27"/>
      <c r="L88" s="27"/>
      <c r="M88" s="27">
        <v>1</v>
      </c>
      <c r="N88" s="27"/>
    </row>
    <row r="89" spans="1:14">
      <c r="A89" s="21"/>
      <c r="B89" s="21"/>
      <c r="C89" s="37"/>
      <c r="D89" s="21"/>
      <c r="E89" s="31"/>
      <c r="F89" s="32"/>
      <c r="G89" s="33"/>
      <c r="H89" s="34"/>
      <c r="I89" s="35"/>
      <c r="J89" s="27"/>
      <c r="K89" s="27"/>
      <c r="L89" s="27"/>
      <c r="M89" s="27"/>
      <c r="N89" s="27"/>
    </row>
    <row r="90" spans="1:14" s="5" customFormat="1" ht="30.95" customHeight="1">
      <c r="A90" s="21"/>
      <c r="B90" s="21"/>
      <c r="C90" s="37"/>
      <c r="D90" s="21"/>
      <c r="E90" s="31">
        <f t="shared" ref="E90:N90" si="0">SUM(E3:E89)</f>
        <v>12</v>
      </c>
      <c r="F90" s="32">
        <f t="shared" si="0"/>
        <v>4</v>
      </c>
      <c r="G90" s="33">
        <f t="shared" si="0"/>
        <v>10</v>
      </c>
      <c r="H90" s="34">
        <f t="shared" si="0"/>
        <v>37</v>
      </c>
      <c r="I90" s="35">
        <f t="shared" si="0"/>
        <v>23</v>
      </c>
      <c r="J90" s="27">
        <f t="shared" si="0"/>
        <v>59</v>
      </c>
      <c r="K90" s="27">
        <f t="shared" si="0"/>
        <v>25</v>
      </c>
      <c r="L90" s="27">
        <f t="shared" si="0"/>
        <v>52</v>
      </c>
      <c r="M90" s="27">
        <f t="shared" si="0"/>
        <v>31</v>
      </c>
      <c r="N90" s="27">
        <f t="shared" si="0"/>
        <v>3</v>
      </c>
    </row>
    <row r="91" spans="1:14">
      <c r="A91" s="21"/>
      <c r="B91" s="21"/>
      <c r="C91" s="37"/>
      <c r="D91" s="21"/>
      <c r="E91" s="31"/>
      <c r="F91" s="32"/>
      <c r="G91" s="33"/>
      <c r="H91" s="47"/>
      <c r="I91" s="47"/>
      <c r="J91" s="27"/>
      <c r="K91" s="27"/>
      <c r="L91" s="27"/>
      <c r="M91" s="27"/>
      <c r="N91" s="27"/>
    </row>
    <row r="92" spans="1:14" ht="45" customHeight="1">
      <c r="C92" s="37"/>
      <c r="D92" s="21" t="s">
        <v>24</v>
      </c>
      <c r="E92" s="31" t="s">
        <v>0</v>
      </c>
      <c r="F92" s="48" t="s">
        <v>1</v>
      </c>
      <c r="G92" s="49" t="s">
        <v>2</v>
      </c>
      <c r="H92" s="50" t="s">
        <v>3</v>
      </c>
      <c r="I92" s="51" t="s">
        <v>4</v>
      </c>
      <c r="J92" s="52" t="s">
        <v>5</v>
      </c>
      <c r="K92" s="17" t="s">
        <v>6</v>
      </c>
      <c r="L92" s="53" t="s">
        <v>25</v>
      </c>
      <c r="M92" s="19" t="s">
        <v>8</v>
      </c>
      <c r="N92" s="54" t="s">
        <v>9</v>
      </c>
    </row>
    <row r="93" spans="1:14">
      <c r="C93" s="37"/>
      <c r="D93" s="21"/>
    </row>
    <row r="96" spans="1:14">
      <c r="M96" s="55" t="s">
        <v>26</v>
      </c>
      <c r="N96" s="55">
        <f>+E90+F90+G90+H90+I90</f>
        <v>86</v>
      </c>
    </row>
    <row r="97" spans="13:14">
      <c r="M97" s="56" t="s">
        <v>27</v>
      </c>
      <c r="N97" s="56">
        <f>+K90</f>
        <v>25</v>
      </c>
    </row>
  </sheetData>
  <sortState ref="B3:N87">
    <sortCondition ref="B3"/>
  </sortState>
  <mergeCells count="1">
    <mergeCell ref="E1:I1"/>
  </mergeCells>
  <conditionalFormatting sqref="L96:M9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2024</vt:lpstr>
      <vt:lpstr>datos a mayo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LOPEZ</dc:creator>
  <cp:lastModifiedBy>usuario</cp:lastModifiedBy>
  <dcterms:created xsi:type="dcterms:W3CDTF">2015-06-05T18:19:00Z</dcterms:created>
  <dcterms:modified xsi:type="dcterms:W3CDTF">2026-09-18T21:25:41Z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2A5325CDAC264A4B9A560DE5F222CD8C_13</vt:lpwstr>
  </property>
  <property fmtid="{D5CDD505-2E9C-101B-9397-08002B2CF9AE}" pid="3" name="KSOProductBuildVer">
    <vt:lpwstr>3082-12.1.0.28485</vt:lpwstr>
  </property>
  <property fmtid="{D5CDD505-2E9C-101B-9397-08002B2CF9AE}" pid="4" name="CalculationRule">
    <vt:i4>0</vt:i4>
  </property>
</Properties>
</file>